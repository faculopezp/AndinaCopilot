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BASE_NACIONAL" sheetId="2" state="visible" r:id="rId4"/>
    <sheet name="Comparativa" sheetId="3" state="visible" r:id="rId5"/>
    <sheet name="Peru_segmentos" sheetId="4" state="visible" r:id="rId6"/>
    <sheet name="Peru_hist_mensual" sheetId="5" state="visible" r:id="rId7"/>
  </sheets>
  <definedNames>
    <definedName function="false" hidden="true" localSheetId="1" name="_xlnm._FilterDatabase" vbProcedure="false">BASE_NACIONAL!$A$1:$G$86</definedName>
    <definedName function="false" hidden="true" localSheetId="2" name="_xlnm._FilterDatabase" vbProcedure="false">Comparativa!$A$3:$G$43</definedName>
    <definedName function="false" hidden="true" localSheetId="4" name="_xlnm._FilterDatabase" vbProcedure="false">Peru_hist_mensual!$A$1:$F$325</definedName>
    <definedName function="false" hidden="true" localSheetId="3" name="_xlnm._FilterDatabase" vbProcedure="false">Peru_segmentos!$A$1:$G$41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<sst xmlns="http://schemas.openxmlformats.org/spreadsheetml/2006/main" count="1164" uniqueCount="108">
  <si>
    <t xml:space="preserve">Base Andina de Ventas Automotrices</t>
  </si>
  <si>
    <t xml:space="preserve">Proyecto SDR Andino · Tecnom. BD cruda multipaís + dashboard web compartible.</t>
  </si>
  <si>
    <t xml:space="preserve">ESTADO POR PAÍS</t>
  </si>
  <si>
    <t xml:space="preserve">Chile — CAVEM</t>
  </si>
  <si>
    <t xml:space="preserve">✓ PDF texto. Ranking nacional nuevos. Último: Acum a Mayo 2026.</t>
  </si>
  <si>
    <t xml:space="preserve">Perú — AAP/SUNARP</t>
  </si>
  <si>
    <t xml:space="preserve">✓ PDF texto. Suma de segmentos = nacional. Último: Acum a Marzo 2026.</t>
  </si>
  <si>
    <t xml:space="preserve">Ecuador — CINAE</t>
  </si>
  <si>
    <t xml:space="preserve">✓ PDF (Power BI) texto. Principales marcas. Último: Acum a Mayo 2026.</t>
  </si>
  <si>
    <t xml:space="preserve">Colombia — ANDI/Fenalco</t>
  </si>
  <si>
    <t xml:space="preserve">✓ Top 20 acum a Mayo 2026 (vía La República). ANDEMOS solo expone Power BI. Var.% por marca solo donde se reporta (resto n/d hasta backfill).</t>
  </si>
  <si>
    <t xml:space="preserve">NOTA DE PERÍODOS</t>
  </si>
  <si>
    <t xml:space="preserve">Desfase de publicación</t>
  </si>
  <si>
    <t xml:space="preserve">Perú publica con ~2 meses de rezago vs Chile/Ecuador. Cada país muestra su último acumulado disponible. Ranking y % interanual comparables; volumen absoluto no 1:1.</t>
  </si>
  <si>
    <t xml:space="preserve">HOJAS</t>
  </si>
  <si>
    <t xml:space="preserve">BASE_NACIONAL</t>
  </si>
  <si>
    <t xml:space="preserve">Fuente de verdad: una fila por país-marca (acumulado YTD). Acá se pega el dato nuevo cada mes.</t>
  </si>
  <si>
    <t xml:space="preserve">Comparativa</t>
  </si>
  <si>
    <t xml:space="preserve">Marca × país (unidades) para ver dónde pega fuerte cada marca.</t>
  </si>
  <si>
    <t xml:space="preserve">Peru_segmentos</t>
  </si>
  <si>
    <t xml:space="preserve">Detalle por segmento de Perú (Automóviles/Pickup/Camionetas/SUV).</t>
  </si>
  <si>
    <t xml:space="preserve">PRÓXIMO</t>
  </si>
  <si>
    <t xml:space="preserve">1</t>
  </si>
  <si>
    <t xml:space="preserve">Backfill histórico mensual ene-2025 → actual (serie de tendencia).</t>
  </si>
  <si>
    <t xml:space="preserve">2</t>
  </si>
  <si>
    <t xml:space="preserve">Sumar Colombia (ANDEMOS vía navegador).</t>
  </si>
  <si>
    <t xml:space="preserve">3</t>
  </si>
  <si>
    <t xml:space="preserve">Automatizar carga mensual con tarea programada.</t>
  </si>
  <si>
    <t xml:space="preserve">País</t>
  </si>
  <si>
    <t xml:space="preserve">Período</t>
  </si>
  <si>
    <t xml:space="preserve">Marca</t>
  </si>
  <si>
    <t xml:space="preserve">Unid. actual</t>
  </si>
  <si>
    <t xml:space="preserve">Unid. previo</t>
  </si>
  <si>
    <t xml:space="preserve">Var.% YoY</t>
  </si>
  <si>
    <t xml:space="preserve">Fuente</t>
  </si>
  <si>
    <t xml:space="preserve">Chile</t>
  </si>
  <si>
    <t xml:space="preserve">Acum a Mayo 2026</t>
  </si>
  <si>
    <t xml:space="preserve">Toyota</t>
  </si>
  <si>
    <t xml:space="preserve">CAVEM</t>
  </si>
  <si>
    <t xml:space="preserve">Suzuki</t>
  </si>
  <si>
    <t xml:space="preserve">Hyundai</t>
  </si>
  <si>
    <t xml:space="preserve">Kia</t>
  </si>
  <si>
    <t xml:space="preserve">Chevrolet</t>
  </si>
  <si>
    <t xml:space="preserve">Great Wall</t>
  </si>
  <si>
    <t xml:space="preserve">Ford</t>
  </si>
  <si>
    <t xml:space="preserve">Changan</t>
  </si>
  <si>
    <t xml:space="preserve">Peugeot</t>
  </si>
  <si>
    <t xml:space="preserve">Mitsubishi</t>
  </si>
  <si>
    <t xml:space="preserve">Mg</t>
  </si>
  <si>
    <t xml:space="preserve">Mazda</t>
  </si>
  <si>
    <t xml:space="preserve">Chery</t>
  </si>
  <si>
    <t xml:space="preserve">Volkswagen</t>
  </si>
  <si>
    <t xml:space="preserve">Jetour</t>
  </si>
  <si>
    <t xml:space="preserve">Jac</t>
  </si>
  <si>
    <t xml:space="preserve">Maxus</t>
  </si>
  <si>
    <t xml:space="preserve">Subaru</t>
  </si>
  <si>
    <t xml:space="preserve">Geely</t>
  </si>
  <si>
    <t xml:space="preserve">Foton</t>
  </si>
  <si>
    <t xml:space="preserve">Omoda</t>
  </si>
  <si>
    <t xml:space="preserve">Ram</t>
  </si>
  <si>
    <t xml:space="preserve">Citroen</t>
  </si>
  <si>
    <t xml:space="preserve">Jmc</t>
  </si>
  <si>
    <t xml:space="preserve">Nissan</t>
  </si>
  <si>
    <t xml:space="preserve">Ecuador</t>
  </si>
  <si>
    <t xml:space="preserve">CINAE</t>
  </si>
  <si>
    <t xml:space="preserve">Dongfeng</t>
  </si>
  <si>
    <t xml:space="preserve">Sinotruk</t>
  </si>
  <si>
    <t xml:space="preserve">Dfsk</t>
  </si>
  <si>
    <t xml:space="preserve">Byd</t>
  </si>
  <si>
    <t xml:space="preserve">Peru</t>
  </si>
  <si>
    <t xml:space="preserve">Acum a Marzo 2026</t>
  </si>
  <si>
    <t xml:space="preserve">AAP/SUNARP</t>
  </si>
  <si>
    <t xml:space="preserve">Renault</t>
  </si>
  <si>
    <t xml:space="preserve">Shineray</t>
  </si>
  <si>
    <t xml:space="preserve">King Long</t>
  </si>
  <si>
    <t xml:space="preserve">Kyc</t>
  </si>
  <si>
    <t xml:space="preserve">Forland</t>
  </si>
  <si>
    <t xml:space="preserve">Colombia</t>
  </si>
  <si>
    <t xml:space="preserve">ANDI/Fenalco (La Republica)</t>
  </si>
  <si>
    <t xml:space="preserve">Tesla</t>
  </si>
  <si>
    <t xml:space="preserve">BYD</t>
  </si>
  <si>
    <t xml:space="preserve">JAC</t>
  </si>
  <si>
    <t xml:space="preserve">Mercedes Benz</t>
  </si>
  <si>
    <t xml:space="preserve">BMW</t>
  </si>
  <si>
    <t xml:space="preserve">Deepal</t>
  </si>
  <si>
    <t xml:space="preserve">Comparativa de marcas entre países (unidades acumuladas)</t>
  </si>
  <si>
    <t xml:space="preserve">Total</t>
  </si>
  <si>
    <t xml:space="preserve"># países</t>
  </si>
  <si>
    <t xml:space="preserve">Segmento</t>
  </si>
  <si>
    <t xml:space="preserve">Ranking</t>
  </si>
  <si>
    <t xml:space="preserve">Unid. 2025</t>
  </si>
  <si>
    <t xml:space="preserve">Unid. 2026</t>
  </si>
  <si>
    <t xml:space="preserve">Share %</t>
  </si>
  <si>
    <t xml:space="preserve">Automoviles/SW</t>
  </si>
  <si>
    <t xml:space="preserve">Pickup/furgonetas</t>
  </si>
  <si>
    <t xml:space="preserve">DFSK</t>
  </si>
  <si>
    <t xml:space="preserve">KYC</t>
  </si>
  <si>
    <t xml:space="preserve">Camionetas</t>
  </si>
  <si>
    <t xml:space="preserve">JMC</t>
  </si>
  <si>
    <t xml:space="preserve">SUV/todoterreno</t>
  </si>
  <si>
    <t xml:space="preserve">Año</t>
  </si>
  <si>
    <t xml:space="preserve">Mes</t>
  </si>
  <si>
    <t xml:space="preserve">Unid. acum.</t>
  </si>
  <si>
    <t xml:space="preserve">Unid. mes</t>
  </si>
  <si>
    <t xml:space="preserve">GEELY</t>
  </si>
  <si>
    <t xml:space="preserve">Great wall</t>
  </si>
  <si>
    <t xml:space="preserve">King long</t>
  </si>
  <si>
    <t xml:space="preserve">MG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</si>
</sst>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#,##0;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2E549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1F386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8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/>
      <c r="B5" s="4"/>
    </row>
    <row r="6" customFormat="false" ht="15" hidden="false" customHeight="false" outlineLevel="0" collapsed="false">
      <c r="A6" s="5" t="s">
        <v>2</v>
      </c>
    </row>
    <row r="7" customFormat="false" ht="15" hidden="false" customHeight="false" outlineLevel="0" collapsed="false">
      <c r="A7" s="3" t="s">
        <v>3</v>
      </c>
      <c r="B7" s="4" t="s">
        <v>4</v>
      </c>
    </row>
    <row r="8" customFormat="false" ht="15" hidden="false" customHeight="false" outlineLevel="0" collapsed="false">
      <c r="A8" s="3" t="s">
        <v>5</v>
      </c>
      <c r="B8" s="4" t="s">
        <v>6</v>
      </c>
    </row>
    <row r="9" customFormat="false" ht="15" hidden="false" customHeight="false" outlineLevel="0" collapsed="false">
      <c r="A9" s="3" t="s">
        <v>7</v>
      </c>
      <c r="B9" s="4" t="s">
        <v>8</v>
      </c>
    </row>
    <row r="10" customFormat="false" ht="23.85" hidden="false" customHeight="false" outlineLevel="0" collapsed="false">
      <c r="A10" s="3" t="s">
        <v>9</v>
      </c>
      <c r="B10" s="4" t="s">
        <v>10</v>
      </c>
    </row>
    <row r="11" customFormat="false" ht="15" hidden="false" customHeight="false" outlineLevel="0" collapsed="false">
      <c r="A11" s="3"/>
      <c r="B11" s="4"/>
    </row>
    <row r="12" customFormat="false" ht="15" hidden="false" customHeight="false" outlineLevel="0" collapsed="false">
      <c r="A12" s="5" t="s">
        <v>11</v>
      </c>
    </row>
    <row r="13" customFormat="false" ht="23.85" hidden="false" customHeight="false" outlineLevel="0" collapsed="false">
      <c r="A13" s="3" t="s">
        <v>12</v>
      </c>
      <c r="B13" s="4" t="s">
        <v>13</v>
      </c>
    </row>
    <row r="14" customFormat="false" ht="15" hidden="false" customHeight="false" outlineLevel="0" collapsed="false">
      <c r="A14" s="3"/>
      <c r="B14" s="4"/>
    </row>
    <row r="15" customFormat="false" ht="15" hidden="false" customHeight="false" outlineLevel="0" collapsed="false">
      <c r="A15" s="5" t="s">
        <v>14</v>
      </c>
    </row>
    <row r="16" customFormat="false" ht="15" hidden="false" customHeight="false" outlineLevel="0" collapsed="false">
      <c r="A16" s="3" t="s">
        <v>15</v>
      </c>
      <c r="B16" s="4" t="s">
        <v>16</v>
      </c>
    </row>
    <row r="17" customFormat="false" ht="15" hidden="false" customHeight="false" outlineLevel="0" collapsed="false">
      <c r="A17" s="3" t="s">
        <v>17</v>
      </c>
      <c r="B17" s="4" t="s">
        <v>18</v>
      </c>
    </row>
    <row r="18" customFormat="false" ht="15" hidden="false" customHeight="false" outlineLevel="0" collapsed="false">
      <c r="A18" s="3" t="s">
        <v>19</v>
      </c>
      <c r="B18" s="4" t="s">
        <v>20</v>
      </c>
    </row>
    <row r="19" customFormat="false" ht="15" hidden="false" customHeight="false" outlineLevel="0" collapsed="false">
      <c r="A19" s="3"/>
      <c r="B19" s="4"/>
    </row>
    <row r="20" customFormat="false" ht="15" hidden="false" customHeight="false" outlineLevel="0" collapsed="false">
      <c r="A20" s="5" t="s">
        <v>21</v>
      </c>
    </row>
    <row r="21" customFormat="false" ht="15" hidden="false" customHeight="false" outlineLevel="0" collapsed="false">
      <c r="A21" s="3" t="s">
        <v>22</v>
      </c>
      <c r="B21" s="4" t="s">
        <v>23</v>
      </c>
    </row>
    <row r="22" customFormat="false" ht="15" hidden="false" customHeight="false" outlineLevel="0" collapsed="false">
      <c r="A22" s="3" t="s">
        <v>24</v>
      </c>
      <c r="B22" s="4" t="s">
        <v>25</v>
      </c>
    </row>
    <row r="23" customFormat="false" ht="15" hidden="false" customHeight="false" outlineLevel="0" collapsed="false">
      <c r="A23" s="3" t="s">
        <v>26</v>
      </c>
      <c r="B23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14"/>
  </cols>
  <sheetData>
    <row r="1" customFormat="false" ht="23.85" hidden="false" customHeight="false" outlineLevel="0" collapsed="false">
      <c r="A1" s="6" t="s">
        <v>28</v>
      </c>
      <c r="B1" s="6" t="s">
        <v>29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</row>
    <row r="2" customFormat="false" ht="15" hidden="false" customHeight="false" outlineLevel="0" collapsed="false">
      <c r="A2" s="7" t="s">
        <v>35</v>
      </c>
      <c r="B2" s="7" t="s">
        <v>36</v>
      </c>
      <c r="C2" s="7" t="s">
        <v>37</v>
      </c>
      <c r="D2" s="8" t="n">
        <v>10497</v>
      </c>
      <c r="E2" s="8" t="n">
        <v>9736</v>
      </c>
      <c r="F2" s="9" t="n">
        <v>0.078</v>
      </c>
      <c r="G2" s="7" t="s">
        <v>38</v>
      </c>
    </row>
    <row r="3" customFormat="false" ht="15" hidden="false" customHeight="false" outlineLevel="0" collapsed="false">
      <c r="A3" s="10" t="s">
        <v>35</v>
      </c>
      <c r="B3" s="10" t="s">
        <v>36</v>
      </c>
      <c r="C3" s="10" t="s">
        <v>39</v>
      </c>
      <c r="D3" s="11" t="n">
        <v>9781</v>
      </c>
      <c r="E3" s="11" t="n">
        <v>9550</v>
      </c>
      <c r="F3" s="12" t="n">
        <v>0.024</v>
      </c>
      <c r="G3" s="10" t="s">
        <v>38</v>
      </c>
    </row>
    <row r="4" customFormat="false" ht="15" hidden="false" customHeight="false" outlineLevel="0" collapsed="false">
      <c r="A4" s="7" t="s">
        <v>35</v>
      </c>
      <c r="B4" s="7" t="s">
        <v>36</v>
      </c>
      <c r="C4" s="7" t="s">
        <v>40</v>
      </c>
      <c r="D4" s="8" t="n">
        <v>8340</v>
      </c>
      <c r="E4" s="8" t="n">
        <v>8007</v>
      </c>
      <c r="F4" s="9" t="n">
        <v>0.042</v>
      </c>
      <c r="G4" s="7" t="s">
        <v>38</v>
      </c>
    </row>
    <row r="5" customFormat="false" ht="15" hidden="false" customHeight="false" outlineLevel="0" collapsed="false">
      <c r="A5" s="10" t="s">
        <v>35</v>
      </c>
      <c r="B5" s="10" t="s">
        <v>36</v>
      </c>
      <c r="C5" s="10" t="s">
        <v>41</v>
      </c>
      <c r="D5" s="11" t="n">
        <v>7575</v>
      </c>
      <c r="E5" s="11" t="n">
        <v>7735</v>
      </c>
      <c r="F5" s="12" t="n">
        <v>-0.021</v>
      </c>
      <c r="G5" s="10" t="s">
        <v>38</v>
      </c>
    </row>
    <row r="6" customFormat="false" ht="15" hidden="false" customHeight="false" outlineLevel="0" collapsed="false">
      <c r="A6" s="7" t="s">
        <v>35</v>
      </c>
      <c r="B6" s="7" t="s">
        <v>36</v>
      </c>
      <c r="C6" s="7" t="s">
        <v>42</v>
      </c>
      <c r="D6" s="8" t="n">
        <v>6817</v>
      </c>
      <c r="E6" s="8" t="n">
        <v>7419</v>
      </c>
      <c r="F6" s="9" t="n">
        <v>-0.081</v>
      </c>
      <c r="G6" s="7" t="s">
        <v>38</v>
      </c>
    </row>
    <row r="7" customFormat="false" ht="15" hidden="false" customHeight="false" outlineLevel="0" collapsed="false">
      <c r="A7" s="10" t="s">
        <v>35</v>
      </c>
      <c r="B7" s="10" t="s">
        <v>36</v>
      </c>
      <c r="C7" s="10" t="s">
        <v>43</v>
      </c>
      <c r="D7" s="11" t="n">
        <v>6807</v>
      </c>
      <c r="E7" s="11" t="n">
        <v>5268</v>
      </c>
      <c r="F7" s="12" t="n">
        <v>0.292</v>
      </c>
      <c r="G7" s="10" t="s">
        <v>38</v>
      </c>
    </row>
    <row r="8" customFormat="false" ht="15" hidden="false" customHeight="false" outlineLevel="0" collapsed="false">
      <c r="A8" s="7" t="s">
        <v>35</v>
      </c>
      <c r="B8" s="7" t="s">
        <v>36</v>
      </c>
      <c r="C8" s="7" t="s">
        <v>44</v>
      </c>
      <c r="D8" s="8" t="n">
        <v>6375</v>
      </c>
      <c r="E8" s="8" t="n">
        <v>6362</v>
      </c>
      <c r="F8" s="9" t="n">
        <v>0.002</v>
      </c>
      <c r="G8" s="7" t="s">
        <v>38</v>
      </c>
    </row>
    <row r="9" customFormat="false" ht="15" hidden="false" customHeight="false" outlineLevel="0" collapsed="false">
      <c r="A9" s="10" t="s">
        <v>35</v>
      </c>
      <c r="B9" s="10" t="s">
        <v>36</v>
      </c>
      <c r="C9" s="10" t="s">
        <v>45</v>
      </c>
      <c r="D9" s="11" t="n">
        <v>6121</v>
      </c>
      <c r="E9" s="11" t="n">
        <v>4513</v>
      </c>
      <c r="F9" s="12" t="n">
        <v>0.356</v>
      </c>
      <c r="G9" s="10" t="s">
        <v>38</v>
      </c>
    </row>
    <row r="10" customFormat="false" ht="15" hidden="false" customHeight="false" outlineLevel="0" collapsed="false">
      <c r="A10" s="7" t="s">
        <v>35</v>
      </c>
      <c r="B10" s="7" t="s">
        <v>36</v>
      </c>
      <c r="C10" s="7" t="s">
        <v>46</v>
      </c>
      <c r="D10" s="8" t="n">
        <v>5699</v>
      </c>
      <c r="E10" s="8" t="n">
        <v>6683</v>
      </c>
      <c r="F10" s="9" t="n">
        <v>-0.147</v>
      </c>
      <c r="G10" s="7" t="s">
        <v>38</v>
      </c>
    </row>
    <row r="11" customFormat="false" ht="15" hidden="false" customHeight="false" outlineLevel="0" collapsed="false">
      <c r="A11" s="10" t="s">
        <v>35</v>
      </c>
      <c r="B11" s="10" t="s">
        <v>36</v>
      </c>
      <c r="C11" s="10" t="s">
        <v>47</v>
      </c>
      <c r="D11" s="11" t="n">
        <v>4901</v>
      </c>
      <c r="E11" s="11" t="n">
        <v>4993</v>
      </c>
      <c r="F11" s="12" t="n">
        <v>-0.018</v>
      </c>
      <c r="G11" s="10" t="s">
        <v>38</v>
      </c>
    </row>
    <row r="12" customFormat="false" ht="15" hidden="false" customHeight="false" outlineLevel="0" collapsed="false">
      <c r="A12" s="7" t="s">
        <v>35</v>
      </c>
      <c r="B12" s="7" t="s">
        <v>36</v>
      </c>
      <c r="C12" s="7" t="s">
        <v>48</v>
      </c>
      <c r="D12" s="8" t="n">
        <v>4790</v>
      </c>
      <c r="E12" s="8" t="n">
        <v>3428</v>
      </c>
      <c r="F12" s="9" t="n">
        <v>0.397</v>
      </c>
      <c r="G12" s="7" t="s">
        <v>38</v>
      </c>
    </row>
    <row r="13" customFormat="false" ht="15" hidden="false" customHeight="false" outlineLevel="0" collapsed="false">
      <c r="A13" s="10" t="s">
        <v>35</v>
      </c>
      <c r="B13" s="10" t="s">
        <v>36</v>
      </c>
      <c r="C13" s="10" t="s">
        <v>49</v>
      </c>
      <c r="D13" s="11" t="n">
        <v>3842</v>
      </c>
      <c r="E13" s="11" t="n">
        <v>3661</v>
      </c>
      <c r="F13" s="12" t="n">
        <v>0.049</v>
      </c>
      <c r="G13" s="10" t="s">
        <v>38</v>
      </c>
    </row>
    <row r="14" customFormat="false" ht="15" hidden="false" customHeight="false" outlineLevel="0" collapsed="false">
      <c r="A14" s="7" t="s">
        <v>35</v>
      </c>
      <c r="B14" s="7" t="s">
        <v>36</v>
      </c>
      <c r="C14" s="7" t="s">
        <v>50</v>
      </c>
      <c r="D14" s="8" t="n">
        <v>3618</v>
      </c>
      <c r="E14" s="8" t="n">
        <v>3541</v>
      </c>
      <c r="F14" s="9" t="n">
        <v>0.022</v>
      </c>
      <c r="G14" s="7" t="s">
        <v>38</v>
      </c>
    </row>
    <row r="15" customFormat="false" ht="15" hidden="false" customHeight="false" outlineLevel="0" collapsed="false">
      <c r="A15" s="10" t="s">
        <v>35</v>
      </c>
      <c r="B15" s="10" t="s">
        <v>36</v>
      </c>
      <c r="C15" s="10" t="s">
        <v>51</v>
      </c>
      <c r="D15" s="11" t="n">
        <v>3169</v>
      </c>
      <c r="E15" s="11" t="n">
        <v>2337</v>
      </c>
      <c r="F15" s="12" t="n">
        <v>0.356</v>
      </c>
      <c r="G15" s="10" t="s">
        <v>38</v>
      </c>
    </row>
    <row r="16" customFormat="false" ht="15" hidden="false" customHeight="false" outlineLevel="0" collapsed="false">
      <c r="A16" s="7" t="s">
        <v>35</v>
      </c>
      <c r="B16" s="7" t="s">
        <v>36</v>
      </c>
      <c r="C16" s="7" t="s">
        <v>52</v>
      </c>
      <c r="D16" s="8" t="n">
        <v>2937</v>
      </c>
      <c r="E16" s="8" t="n">
        <v>1467</v>
      </c>
      <c r="F16" s="9" t="n">
        <v>1.002</v>
      </c>
      <c r="G16" s="7" t="s">
        <v>38</v>
      </c>
    </row>
    <row r="17" customFormat="false" ht="15" hidden="false" customHeight="false" outlineLevel="0" collapsed="false">
      <c r="A17" s="10" t="s">
        <v>35</v>
      </c>
      <c r="B17" s="10" t="s">
        <v>36</v>
      </c>
      <c r="C17" s="10" t="s">
        <v>53</v>
      </c>
      <c r="D17" s="11" t="n">
        <v>2842</v>
      </c>
      <c r="E17" s="11" t="n">
        <v>1961</v>
      </c>
      <c r="F17" s="12" t="n">
        <v>0.449</v>
      </c>
      <c r="G17" s="10" t="s">
        <v>38</v>
      </c>
    </row>
    <row r="18" customFormat="false" ht="15" hidden="false" customHeight="false" outlineLevel="0" collapsed="false">
      <c r="A18" s="7" t="s">
        <v>35</v>
      </c>
      <c r="B18" s="7" t="s">
        <v>36</v>
      </c>
      <c r="C18" s="7" t="s">
        <v>54</v>
      </c>
      <c r="D18" s="8" t="n">
        <v>2513</v>
      </c>
      <c r="E18" s="8" t="n">
        <v>2967</v>
      </c>
      <c r="F18" s="9" t="n">
        <v>-0.153</v>
      </c>
      <c r="G18" s="7" t="s">
        <v>38</v>
      </c>
    </row>
    <row r="19" customFormat="false" ht="15" hidden="false" customHeight="false" outlineLevel="0" collapsed="false">
      <c r="A19" s="10" t="s">
        <v>35</v>
      </c>
      <c r="B19" s="10" t="s">
        <v>36</v>
      </c>
      <c r="C19" s="10" t="s">
        <v>55</v>
      </c>
      <c r="D19" s="11" t="n">
        <v>2495</v>
      </c>
      <c r="E19" s="11" t="n">
        <v>2774</v>
      </c>
      <c r="F19" s="12" t="n">
        <v>-0.101</v>
      </c>
      <c r="G19" s="10" t="s">
        <v>38</v>
      </c>
    </row>
    <row r="20" customFormat="false" ht="15" hidden="false" customHeight="false" outlineLevel="0" collapsed="false">
      <c r="A20" s="7" t="s">
        <v>35</v>
      </c>
      <c r="B20" s="7" t="s">
        <v>36</v>
      </c>
      <c r="C20" s="7" t="s">
        <v>56</v>
      </c>
      <c r="D20" s="8" t="n">
        <v>2483</v>
      </c>
      <c r="E20" s="8" t="n">
        <v>928</v>
      </c>
      <c r="F20" s="9" t="n">
        <v>1.676</v>
      </c>
      <c r="G20" s="7" t="s">
        <v>38</v>
      </c>
    </row>
    <row r="21" customFormat="false" ht="15" hidden="false" customHeight="false" outlineLevel="0" collapsed="false">
      <c r="A21" s="10" t="s">
        <v>35</v>
      </c>
      <c r="B21" s="10" t="s">
        <v>36</v>
      </c>
      <c r="C21" s="10" t="s">
        <v>57</v>
      </c>
      <c r="D21" s="11" t="n">
        <v>2469</v>
      </c>
      <c r="E21" s="11" t="n">
        <v>2267</v>
      </c>
      <c r="F21" s="12" t="n">
        <v>0.089</v>
      </c>
      <c r="G21" s="10" t="s">
        <v>38</v>
      </c>
    </row>
    <row r="22" customFormat="false" ht="15" hidden="false" customHeight="false" outlineLevel="0" collapsed="false">
      <c r="A22" s="7" t="s">
        <v>35</v>
      </c>
      <c r="B22" s="7" t="s">
        <v>36</v>
      </c>
      <c r="C22" s="7" t="s">
        <v>58</v>
      </c>
      <c r="D22" s="8" t="n">
        <v>2101</v>
      </c>
      <c r="E22" s="8" t="n">
        <v>1888</v>
      </c>
      <c r="F22" s="9" t="n">
        <v>0.113</v>
      </c>
      <c r="G22" s="7" t="s">
        <v>38</v>
      </c>
    </row>
    <row r="23" customFormat="false" ht="15" hidden="false" customHeight="false" outlineLevel="0" collapsed="false">
      <c r="A23" s="10" t="s">
        <v>35</v>
      </c>
      <c r="B23" s="10" t="s">
        <v>36</v>
      </c>
      <c r="C23" s="10" t="s">
        <v>59</v>
      </c>
      <c r="D23" s="11" t="n">
        <v>1819</v>
      </c>
      <c r="E23" s="11" t="n">
        <v>1701</v>
      </c>
      <c r="F23" s="12" t="n">
        <v>0.069</v>
      </c>
      <c r="G23" s="10" t="s">
        <v>38</v>
      </c>
    </row>
    <row r="24" customFormat="false" ht="15" hidden="false" customHeight="false" outlineLevel="0" collapsed="false">
      <c r="A24" s="7" t="s">
        <v>35</v>
      </c>
      <c r="B24" s="7" t="s">
        <v>36</v>
      </c>
      <c r="C24" s="7" t="s">
        <v>60</v>
      </c>
      <c r="D24" s="8" t="n">
        <v>1743</v>
      </c>
      <c r="E24" s="8" t="n">
        <v>3270</v>
      </c>
      <c r="F24" s="9" t="n">
        <v>-0.467</v>
      </c>
      <c r="G24" s="7" t="s">
        <v>38</v>
      </c>
    </row>
    <row r="25" customFormat="false" ht="15" hidden="false" customHeight="false" outlineLevel="0" collapsed="false">
      <c r="A25" s="10" t="s">
        <v>35</v>
      </c>
      <c r="B25" s="10" t="s">
        <v>36</v>
      </c>
      <c r="C25" s="10" t="s">
        <v>61</v>
      </c>
      <c r="D25" s="11" t="n">
        <v>1253</v>
      </c>
      <c r="E25" s="11" t="n">
        <v>1195</v>
      </c>
      <c r="F25" s="12" t="n">
        <v>0.049</v>
      </c>
      <c r="G25" s="10" t="s">
        <v>38</v>
      </c>
    </row>
    <row r="26" customFormat="false" ht="15" hidden="false" customHeight="false" outlineLevel="0" collapsed="false">
      <c r="A26" s="7" t="s">
        <v>35</v>
      </c>
      <c r="B26" s="7" t="s">
        <v>36</v>
      </c>
      <c r="C26" s="7" t="s">
        <v>62</v>
      </c>
      <c r="D26" s="8" t="n">
        <v>1220</v>
      </c>
      <c r="E26" s="8" t="n">
        <v>2767</v>
      </c>
      <c r="F26" s="9" t="n">
        <v>-0.559</v>
      </c>
      <c r="G26" s="7" t="s">
        <v>38</v>
      </c>
    </row>
    <row r="27" customFormat="false" ht="15" hidden="false" customHeight="false" outlineLevel="0" collapsed="false">
      <c r="A27" s="10" t="s">
        <v>63</v>
      </c>
      <c r="B27" s="10" t="s">
        <v>36</v>
      </c>
      <c r="C27" s="10" t="s">
        <v>41</v>
      </c>
      <c r="D27" s="11" t="n">
        <v>10235</v>
      </c>
      <c r="E27" s="11" t="n">
        <v>7225</v>
      </c>
      <c r="F27" s="12" t="n">
        <v>0.417</v>
      </c>
      <c r="G27" s="10" t="s">
        <v>64</v>
      </c>
    </row>
    <row r="28" customFormat="false" ht="15" hidden="false" customHeight="false" outlineLevel="0" collapsed="false">
      <c r="A28" s="7" t="s">
        <v>63</v>
      </c>
      <c r="B28" s="7" t="s">
        <v>36</v>
      </c>
      <c r="C28" s="7" t="s">
        <v>42</v>
      </c>
      <c r="D28" s="8" t="n">
        <v>7731</v>
      </c>
      <c r="E28" s="8" t="n">
        <v>6795</v>
      </c>
      <c r="F28" s="9" t="n">
        <v>0.138</v>
      </c>
      <c r="G28" s="7" t="s">
        <v>64</v>
      </c>
    </row>
    <row r="29" customFormat="false" ht="15" hidden="false" customHeight="false" outlineLevel="0" collapsed="false">
      <c r="A29" s="10" t="s">
        <v>63</v>
      </c>
      <c r="B29" s="10" t="s">
        <v>36</v>
      </c>
      <c r="C29" s="10" t="s">
        <v>43</v>
      </c>
      <c r="D29" s="11" t="n">
        <v>3508</v>
      </c>
      <c r="E29" s="11" t="n">
        <v>2335</v>
      </c>
      <c r="F29" s="12" t="n">
        <v>0.502</v>
      </c>
      <c r="G29" s="10" t="s">
        <v>64</v>
      </c>
    </row>
    <row r="30" customFormat="false" ht="15" hidden="false" customHeight="false" outlineLevel="0" collapsed="false">
      <c r="A30" s="7" t="s">
        <v>63</v>
      </c>
      <c r="B30" s="7" t="s">
        <v>36</v>
      </c>
      <c r="C30" s="7" t="s">
        <v>40</v>
      </c>
      <c r="D30" s="8" t="n">
        <v>3600</v>
      </c>
      <c r="E30" s="8" t="n">
        <v>2709</v>
      </c>
      <c r="F30" s="9" t="n">
        <v>0.329</v>
      </c>
      <c r="G30" s="7" t="s">
        <v>64</v>
      </c>
    </row>
    <row r="31" customFormat="false" ht="15" hidden="false" customHeight="false" outlineLevel="0" collapsed="false">
      <c r="A31" s="10" t="s">
        <v>63</v>
      </c>
      <c r="B31" s="10" t="s">
        <v>36</v>
      </c>
      <c r="C31" s="10" t="s">
        <v>50</v>
      </c>
      <c r="D31" s="11" t="n">
        <v>3142</v>
      </c>
      <c r="E31" s="11" t="n">
        <v>1991</v>
      </c>
      <c r="F31" s="12" t="n">
        <v>0.578</v>
      </c>
      <c r="G31" s="10" t="s">
        <v>64</v>
      </c>
    </row>
    <row r="32" customFormat="false" ht="15" hidden="false" customHeight="false" outlineLevel="0" collapsed="false">
      <c r="A32" s="7" t="s">
        <v>63</v>
      </c>
      <c r="B32" s="7" t="s">
        <v>36</v>
      </c>
      <c r="C32" s="7" t="s">
        <v>37</v>
      </c>
      <c r="D32" s="8" t="n">
        <v>3044</v>
      </c>
      <c r="E32" s="8" t="n">
        <v>2200</v>
      </c>
      <c r="F32" s="9" t="n">
        <v>0.384</v>
      </c>
      <c r="G32" s="7" t="s">
        <v>64</v>
      </c>
    </row>
    <row r="33" customFormat="false" ht="15" hidden="false" customHeight="false" outlineLevel="0" collapsed="false">
      <c r="A33" s="10" t="s">
        <v>63</v>
      </c>
      <c r="B33" s="10" t="s">
        <v>36</v>
      </c>
      <c r="C33" s="10" t="s">
        <v>65</v>
      </c>
      <c r="D33" s="11" t="n">
        <v>2252</v>
      </c>
      <c r="E33" s="11" t="n">
        <v>1123</v>
      </c>
      <c r="F33" s="12" t="n">
        <v>1.005</v>
      </c>
      <c r="G33" s="10" t="s">
        <v>64</v>
      </c>
    </row>
    <row r="34" customFormat="false" ht="15" hidden="false" customHeight="false" outlineLevel="0" collapsed="false">
      <c r="A34" s="7" t="s">
        <v>63</v>
      </c>
      <c r="B34" s="7" t="s">
        <v>36</v>
      </c>
      <c r="C34" s="7" t="s">
        <v>66</v>
      </c>
      <c r="D34" s="8" t="n">
        <v>2086</v>
      </c>
      <c r="E34" s="8" t="n">
        <v>1175</v>
      </c>
      <c r="F34" s="9" t="n">
        <v>0.775</v>
      </c>
      <c r="G34" s="7" t="s">
        <v>64</v>
      </c>
    </row>
    <row r="35" customFormat="false" ht="15" hidden="false" customHeight="false" outlineLevel="0" collapsed="false">
      <c r="A35" s="10" t="s">
        <v>63</v>
      </c>
      <c r="B35" s="10" t="s">
        <v>36</v>
      </c>
      <c r="C35" s="10" t="s">
        <v>53</v>
      </c>
      <c r="D35" s="11" t="n">
        <v>2228</v>
      </c>
      <c r="E35" s="11" t="n">
        <v>1261</v>
      </c>
      <c r="F35" s="12" t="n">
        <v>0.767</v>
      </c>
      <c r="G35" s="10" t="s">
        <v>64</v>
      </c>
    </row>
    <row r="36" customFormat="false" ht="15" hidden="false" customHeight="false" outlineLevel="0" collapsed="false">
      <c r="A36" s="7" t="s">
        <v>63</v>
      </c>
      <c r="B36" s="7" t="s">
        <v>36</v>
      </c>
      <c r="C36" s="7" t="s">
        <v>67</v>
      </c>
      <c r="D36" s="8" t="n">
        <v>1832</v>
      </c>
      <c r="E36" s="8" t="n">
        <v>1040</v>
      </c>
      <c r="F36" s="9" t="n">
        <v>0.762</v>
      </c>
      <c r="G36" s="7" t="s">
        <v>64</v>
      </c>
    </row>
    <row r="37" customFormat="false" ht="15" hidden="false" customHeight="false" outlineLevel="0" collapsed="false">
      <c r="A37" s="10" t="s">
        <v>63</v>
      </c>
      <c r="B37" s="10" t="s">
        <v>36</v>
      </c>
      <c r="C37" s="10" t="s">
        <v>49</v>
      </c>
      <c r="D37" s="11" t="n">
        <v>1456</v>
      </c>
      <c r="E37" s="11" t="n">
        <v>1066</v>
      </c>
      <c r="F37" s="12" t="n">
        <v>0.366</v>
      </c>
      <c r="G37" s="10" t="s">
        <v>64</v>
      </c>
    </row>
    <row r="38" customFormat="false" ht="15" hidden="false" customHeight="false" outlineLevel="0" collapsed="false">
      <c r="A38" s="7" t="s">
        <v>63</v>
      </c>
      <c r="B38" s="7" t="s">
        <v>36</v>
      </c>
      <c r="C38" s="7" t="s">
        <v>52</v>
      </c>
      <c r="D38" s="8" t="n">
        <v>1502</v>
      </c>
      <c r="E38" s="8" t="n">
        <v>574</v>
      </c>
      <c r="F38" s="9" t="n">
        <v>1.617</v>
      </c>
      <c r="G38" s="7" t="s">
        <v>64</v>
      </c>
    </row>
    <row r="39" customFormat="false" ht="15" hidden="false" customHeight="false" outlineLevel="0" collapsed="false">
      <c r="A39" s="10" t="s">
        <v>63</v>
      </c>
      <c r="B39" s="10" t="s">
        <v>36</v>
      </c>
      <c r="C39" s="10" t="s">
        <v>39</v>
      </c>
      <c r="D39" s="11" t="n">
        <v>1875</v>
      </c>
      <c r="E39" s="11" t="n">
        <v>1809</v>
      </c>
      <c r="F39" s="12" t="n">
        <v>0.036</v>
      </c>
      <c r="G39" s="10" t="s">
        <v>64</v>
      </c>
    </row>
    <row r="40" customFormat="false" ht="15" hidden="false" customHeight="false" outlineLevel="0" collapsed="false">
      <c r="A40" s="7" t="s">
        <v>63</v>
      </c>
      <c r="B40" s="7" t="s">
        <v>36</v>
      </c>
      <c r="C40" s="7" t="s">
        <v>68</v>
      </c>
      <c r="D40" s="8" t="n">
        <v>1776</v>
      </c>
      <c r="E40" s="8" t="n">
        <v>747</v>
      </c>
      <c r="F40" s="9" t="n">
        <v>1.378</v>
      </c>
      <c r="G40" s="7" t="s">
        <v>64</v>
      </c>
    </row>
    <row r="41" customFormat="false" ht="15" hidden="false" customHeight="false" outlineLevel="0" collapsed="false">
      <c r="A41" s="10" t="s">
        <v>63</v>
      </c>
      <c r="B41" s="10" t="s">
        <v>36</v>
      </c>
      <c r="C41" s="10" t="s">
        <v>57</v>
      </c>
      <c r="D41" s="11" t="n">
        <v>1110</v>
      </c>
      <c r="E41" s="11" t="n">
        <v>633</v>
      </c>
      <c r="F41" s="12" t="n">
        <v>0.754</v>
      </c>
      <c r="G41" s="10" t="s">
        <v>64</v>
      </c>
    </row>
    <row r="42" customFormat="false" ht="15" hidden="false" customHeight="false" outlineLevel="0" collapsed="false">
      <c r="A42" s="7" t="s">
        <v>63</v>
      </c>
      <c r="B42" s="7" t="s">
        <v>36</v>
      </c>
      <c r="C42" s="7" t="s">
        <v>45</v>
      </c>
      <c r="D42" s="8" t="n">
        <v>1160</v>
      </c>
      <c r="E42" s="8" t="n">
        <v>375</v>
      </c>
      <c r="F42" s="9" t="n">
        <v>2.093</v>
      </c>
      <c r="G42" s="7" t="s">
        <v>64</v>
      </c>
    </row>
    <row r="43" customFormat="false" ht="15" hidden="false" customHeight="false" outlineLevel="0" collapsed="false">
      <c r="A43" s="10" t="s">
        <v>63</v>
      </c>
      <c r="B43" s="10" t="s">
        <v>36</v>
      </c>
      <c r="C43" s="10" t="s">
        <v>48</v>
      </c>
      <c r="D43" s="11" t="n">
        <v>710</v>
      </c>
      <c r="E43" s="11" t="n">
        <v>353</v>
      </c>
      <c r="F43" s="12" t="n">
        <v>1.011</v>
      </c>
      <c r="G43" s="10" t="s">
        <v>64</v>
      </c>
    </row>
    <row r="44" customFormat="false" ht="15" hidden="false" customHeight="false" outlineLevel="0" collapsed="false">
      <c r="A44" s="7" t="s">
        <v>63</v>
      </c>
      <c r="B44" s="7" t="s">
        <v>36</v>
      </c>
      <c r="C44" s="7" t="s">
        <v>51</v>
      </c>
      <c r="D44" s="8" t="n">
        <v>1330</v>
      </c>
      <c r="E44" s="8" t="n">
        <v>967</v>
      </c>
      <c r="F44" s="9" t="n">
        <v>0.375</v>
      </c>
      <c r="G44" s="7" t="s">
        <v>64</v>
      </c>
    </row>
    <row r="45" customFormat="false" ht="15" hidden="false" customHeight="false" outlineLevel="0" collapsed="false">
      <c r="A45" s="10" t="s">
        <v>69</v>
      </c>
      <c r="B45" s="10" t="s">
        <v>70</v>
      </c>
      <c r="C45" s="10" t="s">
        <v>41</v>
      </c>
      <c r="D45" s="11" t="n">
        <v>5908</v>
      </c>
      <c r="E45" s="11" t="n">
        <v>4203</v>
      </c>
      <c r="F45" s="12" t="n">
        <v>0.406</v>
      </c>
      <c r="G45" s="10" t="s">
        <v>71</v>
      </c>
    </row>
    <row r="46" customFormat="false" ht="15" hidden="false" customHeight="false" outlineLevel="0" collapsed="false">
      <c r="A46" s="7" t="s">
        <v>69</v>
      </c>
      <c r="B46" s="7" t="s">
        <v>70</v>
      </c>
      <c r="C46" s="7" t="s">
        <v>40</v>
      </c>
      <c r="D46" s="8" t="n">
        <v>5447</v>
      </c>
      <c r="E46" s="8" t="n">
        <v>3882</v>
      </c>
      <c r="F46" s="9" t="n">
        <v>0.403</v>
      </c>
      <c r="G46" s="7" t="s">
        <v>71</v>
      </c>
    </row>
    <row r="47" customFormat="false" ht="15" hidden="false" customHeight="false" outlineLevel="0" collapsed="false">
      <c r="A47" s="10" t="s">
        <v>69</v>
      </c>
      <c r="B47" s="10" t="s">
        <v>70</v>
      </c>
      <c r="C47" s="10" t="s">
        <v>37</v>
      </c>
      <c r="D47" s="11" t="n">
        <v>11379</v>
      </c>
      <c r="E47" s="11" t="n">
        <v>9320</v>
      </c>
      <c r="F47" s="12" t="n">
        <v>0.221</v>
      </c>
      <c r="G47" s="10" t="s">
        <v>71</v>
      </c>
    </row>
    <row r="48" customFormat="false" ht="15" hidden="false" customHeight="false" outlineLevel="0" collapsed="false">
      <c r="A48" s="7" t="s">
        <v>69</v>
      </c>
      <c r="B48" s="7" t="s">
        <v>70</v>
      </c>
      <c r="C48" s="7" t="s">
        <v>39</v>
      </c>
      <c r="D48" s="8" t="n">
        <v>1894</v>
      </c>
      <c r="E48" s="8" t="n">
        <v>1035</v>
      </c>
      <c r="F48" s="9" t="n">
        <v>0.83</v>
      </c>
      <c r="G48" s="7" t="s">
        <v>71</v>
      </c>
    </row>
    <row r="49" customFormat="false" ht="15" hidden="false" customHeight="false" outlineLevel="0" collapsed="false">
      <c r="A49" s="10" t="s">
        <v>69</v>
      </c>
      <c r="B49" s="10" t="s">
        <v>70</v>
      </c>
      <c r="C49" s="10" t="s">
        <v>42</v>
      </c>
      <c r="D49" s="11" t="n">
        <v>1581</v>
      </c>
      <c r="E49" s="11" t="n">
        <v>1401</v>
      </c>
      <c r="F49" s="12" t="n">
        <v>0.128</v>
      </c>
      <c r="G49" s="10" t="s">
        <v>71</v>
      </c>
    </row>
    <row r="50" customFormat="false" ht="15" hidden="false" customHeight="false" outlineLevel="0" collapsed="false">
      <c r="A50" s="7" t="s">
        <v>69</v>
      </c>
      <c r="B50" s="7" t="s">
        <v>70</v>
      </c>
      <c r="C50" s="7" t="s">
        <v>50</v>
      </c>
      <c r="D50" s="8" t="n">
        <v>1855</v>
      </c>
      <c r="E50" s="8" t="n">
        <v>1039</v>
      </c>
      <c r="F50" s="9" t="n">
        <v>0.785</v>
      </c>
      <c r="G50" s="7" t="s">
        <v>71</v>
      </c>
    </row>
    <row r="51" customFormat="false" ht="15" hidden="false" customHeight="false" outlineLevel="0" collapsed="false">
      <c r="A51" s="10" t="s">
        <v>69</v>
      </c>
      <c r="B51" s="10" t="s">
        <v>70</v>
      </c>
      <c r="C51" s="10" t="s">
        <v>45</v>
      </c>
      <c r="D51" s="11" t="n">
        <v>4096</v>
      </c>
      <c r="E51" s="11" t="n">
        <v>2500</v>
      </c>
      <c r="F51" s="12" t="n">
        <v>0.638</v>
      </c>
      <c r="G51" s="10" t="s">
        <v>71</v>
      </c>
    </row>
    <row r="52" customFormat="false" ht="15" hidden="false" customHeight="false" outlineLevel="0" collapsed="false">
      <c r="A52" s="7" t="s">
        <v>69</v>
      </c>
      <c r="B52" s="7" t="s">
        <v>70</v>
      </c>
      <c r="C52" s="7" t="s">
        <v>62</v>
      </c>
      <c r="D52" s="8" t="n">
        <v>174</v>
      </c>
      <c r="E52" s="8" t="n">
        <v>365</v>
      </c>
      <c r="F52" s="9" t="n">
        <v>-0.523</v>
      </c>
      <c r="G52" s="7" t="s">
        <v>71</v>
      </c>
    </row>
    <row r="53" customFormat="false" ht="15" hidden="false" customHeight="false" outlineLevel="0" collapsed="false">
      <c r="A53" s="10" t="s">
        <v>69</v>
      </c>
      <c r="B53" s="10" t="s">
        <v>70</v>
      </c>
      <c r="C53" s="10" t="s">
        <v>56</v>
      </c>
      <c r="D53" s="11" t="n">
        <v>2614</v>
      </c>
      <c r="E53" s="11" t="n">
        <v>1137</v>
      </c>
      <c r="F53" s="12" t="n">
        <v>1.299</v>
      </c>
      <c r="G53" s="10" t="s">
        <v>71</v>
      </c>
    </row>
    <row r="54" customFormat="false" ht="15" hidden="false" customHeight="false" outlineLevel="0" collapsed="false">
      <c r="A54" s="7" t="s">
        <v>69</v>
      </c>
      <c r="B54" s="7" t="s">
        <v>70</v>
      </c>
      <c r="C54" s="7" t="s">
        <v>72</v>
      </c>
      <c r="D54" s="8" t="n">
        <v>100</v>
      </c>
      <c r="E54" s="8" t="n">
        <v>109</v>
      </c>
      <c r="F54" s="9" t="n">
        <v>-0.083</v>
      </c>
      <c r="G54" s="7" t="s">
        <v>71</v>
      </c>
    </row>
    <row r="55" customFormat="false" ht="15" hidden="false" customHeight="false" outlineLevel="0" collapsed="false">
      <c r="A55" s="10" t="s">
        <v>69</v>
      </c>
      <c r="B55" s="10" t="s">
        <v>70</v>
      </c>
      <c r="C55" s="10" t="s">
        <v>67</v>
      </c>
      <c r="D55" s="11" t="n">
        <v>1898</v>
      </c>
      <c r="E55" s="11" t="n">
        <v>1747</v>
      </c>
      <c r="F55" s="12" t="n">
        <v>0.086</v>
      </c>
      <c r="G55" s="10" t="s">
        <v>71</v>
      </c>
    </row>
    <row r="56" customFormat="false" ht="15" hidden="false" customHeight="false" outlineLevel="0" collapsed="false">
      <c r="A56" s="7" t="s">
        <v>69</v>
      </c>
      <c r="B56" s="7" t="s">
        <v>70</v>
      </c>
      <c r="C56" s="7" t="s">
        <v>73</v>
      </c>
      <c r="D56" s="8" t="n">
        <v>418</v>
      </c>
      <c r="E56" s="8" t="n">
        <v>295</v>
      </c>
      <c r="F56" s="9" t="n">
        <v>0.417</v>
      </c>
      <c r="G56" s="7" t="s">
        <v>71</v>
      </c>
    </row>
    <row r="57" customFormat="false" ht="15" hidden="false" customHeight="false" outlineLevel="0" collapsed="false">
      <c r="A57" s="10" t="s">
        <v>69</v>
      </c>
      <c r="B57" s="10" t="s">
        <v>70</v>
      </c>
      <c r="C57" s="10" t="s">
        <v>47</v>
      </c>
      <c r="D57" s="11" t="n">
        <v>1172</v>
      </c>
      <c r="E57" s="11" t="n">
        <v>1008</v>
      </c>
      <c r="F57" s="12" t="n">
        <v>0.163</v>
      </c>
      <c r="G57" s="10" t="s">
        <v>71</v>
      </c>
    </row>
    <row r="58" customFormat="false" ht="15" hidden="false" customHeight="false" outlineLevel="0" collapsed="false">
      <c r="A58" s="7" t="s">
        <v>69</v>
      </c>
      <c r="B58" s="7" t="s">
        <v>70</v>
      </c>
      <c r="C58" s="7" t="s">
        <v>57</v>
      </c>
      <c r="D58" s="8" t="n">
        <v>896</v>
      </c>
      <c r="E58" s="8" t="n">
        <v>488</v>
      </c>
      <c r="F58" s="9" t="n">
        <v>0.836</v>
      </c>
      <c r="G58" s="7" t="s">
        <v>71</v>
      </c>
    </row>
    <row r="59" customFormat="false" ht="15" hidden="false" customHeight="false" outlineLevel="0" collapsed="false">
      <c r="A59" s="10" t="s">
        <v>69</v>
      </c>
      <c r="B59" s="10" t="s">
        <v>70</v>
      </c>
      <c r="C59" s="10" t="s">
        <v>74</v>
      </c>
      <c r="D59" s="11" t="n">
        <v>261</v>
      </c>
      <c r="E59" s="11" t="n">
        <v>160</v>
      </c>
      <c r="F59" s="12" t="n">
        <v>0.631</v>
      </c>
      <c r="G59" s="10" t="s">
        <v>71</v>
      </c>
    </row>
    <row r="60" customFormat="false" ht="15" hidden="false" customHeight="false" outlineLevel="0" collapsed="false">
      <c r="A60" s="7" t="s">
        <v>69</v>
      </c>
      <c r="B60" s="7" t="s">
        <v>70</v>
      </c>
      <c r="C60" s="7" t="s">
        <v>53</v>
      </c>
      <c r="D60" s="8" t="n">
        <v>1273</v>
      </c>
      <c r="E60" s="8" t="n">
        <v>757</v>
      </c>
      <c r="F60" s="9" t="n">
        <v>0.682</v>
      </c>
      <c r="G60" s="7" t="s">
        <v>71</v>
      </c>
    </row>
    <row r="61" customFormat="false" ht="15" hidden="false" customHeight="false" outlineLevel="0" collapsed="false">
      <c r="A61" s="10" t="s">
        <v>69</v>
      </c>
      <c r="B61" s="10" t="s">
        <v>70</v>
      </c>
      <c r="C61" s="10" t="s">
        <v>75</v>
      </c>
      <c r="D61" s="11" t="n">
        <v>222</v>
      </c>
      <c r="E61" s="11" t="n">
        <v>154</v>
      </c>
      <c r="F61" s="12" t="n">
        <v>0.442</v>
      </c>
      <c r="G61" s="10" t="s">
        <v>71</v>
      </c>
    </row>
    <row r="62" customFormat="false" ht="15" hidden="false" customHeight="false" outlineLevel="0" collapsed="false">
      <c r="A62" s="7" t="s">
        <v>69</v>
      </c>
      <c r="B62" s="7" t="s">
        <v>70</v>
      </c>
      <c r="C62" s="7" t="s">
        <v>44</v>
      </c>
      <c r="D62" s="8" t="n">
        <v>2488</v>
      </c>
      <c r="E62" s="8" t="n">
        <v>1706</v>
      </c>
      <c r="F62" s="9" t="n">
        <v>0.458</v>
      </c>
      <c r="G62" s="7" t="s">
        <v>71</v>
      </c>
    </row>
    <row r="63" customFormat="false" ht="15" hidden="false" customHeight="false" outlineLevel="0" collapsed="false">
      <c r="A63" s="10" t="s">
        <v>69</v>
      </c>
      <c r="B63" s="10" t="s">
        <v>70</v>
      </c>
      <c r="C63" s="10" t="s">
        <v>43</v>
      </c>
      <c r="D63" s="11" t="n">
        <v>983</v>
      </c>
      <c r="E63" s="11" t="n">
        <v>554</v>
      </c>
      <c r="F63" s="12" t="n">
        <v>0.774</v>
      </c>
      <c r="G63" s="10" t="s">
        <v>71</v>
      </c>
    </row>
    <row r="64" customFormat="false" ht="15" hidden="false" customHeight="false" outlineLevel="0" collapsed="false">
      <c r="A64" s="7" t="s">
        <v>69</v>
      </c>
      <c r="B64" s="7" t="s">
        <v>70</v>
      </c>
      <c r="C64" s="7" t="s">
        <v>61</v>
      </c>
      <c r="D64" s="8" t="n">
        <v>667</v>
      </c>
      <c r="E64" s="8" t="n">
        <v>443</v>
      </c>
      <c r="F64" s="9" t="n">
        <v>0.506</v>
      </c>
      <c r="G64" s="7" t="s">
        <v>71</v>
      </c>
    </row>
    <row r="65" customFormat="false" ht="15" hidden="false" customHeight="false" outlineLevel="0" collapsed="false">
      <c r="A65" s="10" t="s">
        <v>69</v>
      </c>
      <c r="B65" s="10" t="s">
        <v>70</v>
      </c>
      <c r="C65" s="10" t="s">
        <v>76</v>
      </c>
      <c r="D65" s="11" t="n">
        <v>273</v>
      </c>
      <c r="E65" s="11" t="n">
        <v>192</v>
      </c>
      <c r="F65" s="12" t="n">
        <v>0.422</v>
      </c>
      <c r="G65" s="10" t="s">
        <v>71</v>
      </c>
    </row>
    <row r="66" customFormat="false" ht="15" hidden="false" customHeight="false" outlineLevel="0" collapsed="false">
      <c r="A66" s="7" t="s">
        <v>69</v>
      </c>
      <c r="B66" s="7" t="s">
        <v>70</v>
      </c>
      <c r="C66" s="7" t="s">
        <v>52</v>
      </c>
      <c r="D66" s="8" t="n">
        <v>3313</v>
      </c>
      <c r="E66" s="8" t="n">
        <v>1391</v>
      </c>
      <c r="F66" s="9" t="n">
        <v>1.382</v>
      </c>
      <c r="G66" s="7" t="s">
        <v>71</v>
      </c>
    </row>
    <row r="67" customFormat="false" ht="15" hidden="false" customHeight="false" outlineLevel="0" collapsed="false">
      <c r="A67" s="10" t="s">
        <v>77</v>
      </c>
      <c r="B67" s="10" t="s">
        <v>36</v>
      </c>
      <c r="C67" s="10" t="s">
        <v>41</v>
      </c>
      <c r="D67" s="11" t="n">
        <v>17440</v>
      </c>
      <c r="E67" s="11" t="n">
        <v>11406</v>
      </c>
      <c r="F67" s="12" t="n">
        <v>0.529</v>
      </c>
      <c r="G67" s="10" t="s">
        <v>78</v>
      </c>
    </row>
    <row r="68" customFormat="false" ht="15" hidden="false" customHeight="false" outlineLevel="0" collapsed="false">
      <c r="A68" s="7" t="s">
        <v>77</v>
      </c>
      <c r="B68" s="7" t="s">
        <v>36</v>
      </c>
      <c r="C68" s="7" t="s">
        <v>72</v>
      </c>
      <c r="D68" s="8" t="n">
        <v>13247</v>
      </c>
      <c r="E68" s="8" t="n">
        <v>11560</v>
      </c>
      <c r="F68" s="9" t="n">
        <v>0.146</v>
      </c>
      <c r="G68" s="7" t="s">
        <v>78</v>
      </c>
    </row>
    <row r="69" customFormat="false" ht="15" hidden="false" customHeight="false" outlineLevel="0" collapsed="false">
      <c r="A69" s="10" t="s">
        <v>77</v>
      </c>
      <c r="B69" s="10" t="s">
        <v>36</v>
      </c>
      <c r="C69" s="10" t="s">
        <v>37</v>
      </c>
      <c r="D69" s="11" t="n">
        <v>9852</v>
      </c>
      <c r="E69" s="11" t="n">
        <v>9419</v>
      </c>
      <c r="F69" s="12" t="n">
        <v>0.046</v>
      </c>
      <c r="G69" s="10" t="s">
        <v>78</v>
      </c>
    </row>
    <row r="70" customFormat="false" ht="15" hidden="false" customHeight="false" outlineLevel="0" collapsed="false">
      <c r="A70" s="7" t="s">
        <v>77</v>
      </c>
      <c r="B70" s="7" t="s">
        <v>36</v>
      </c>
      <c r="C70" s="7" t="s">
        <v>49</v>
      </c>
      <c r="D70" s="8" t="n">
        <v>9786</v>
      </c>
      <c r="E70" s="8"/>
      <c r="F70" s="9"/>
      <c r="G70" s="7" t="s">
        <v>78</v>
      </c>
    </row>
    <row r="71" customFormat="false" ht="15" hidden="false" customHeight="false" outlineLevel="0" collapsed="false">
      <c r="A71" s="10" t="s">
        <v>77</v>
      </c>
      <c r="B71" s="10" t="s">
        <v>36</v>
      </c>
      <c r="C71" s="10" t="s">
        <v>42</v>
      </c>
      <c r="D71" s="11" t="n">
        <v>9673</v>
      </c>
      <c r="E71" s="11"/>
      <c r="F71" s="12"/>
      <c r="G71" s="10" t="s">
        <v>78</v>
      </c>
    </row>
    <row r="72" customFormat="false" ht="15" hidden="false" customHeight="false" outlineLevel="0" collapsed="false">
      <c r="A72" s="7" t="s">
        <v>77</v>
      </c>
      <c r="B72" s="7" t="s">
        <v>36</v>
      </c>
      <c r="C72" s="7" t="s">
        <v>79</v>
      </c>
      <c r="D72" s="8" t="n">
        <v>7735</v>
      </c>
      <c r="E72" s="8" t="n">
        <v>6</v>
      </c>
      <c r="F72" s="9" t="n">
        <v>1288.167</v>
      </c>
      <c r="G72" s="7" t="s">
        <v>78</v>
      </c>
    </row>
    <row r="73" customFormat="false" ht="15" hidden="false" customHeight="false" outlineLevel="0" collapsed="false">
      <c r="A73" s="10" t="s">
        <v>77</v>
      </c>
      <c r="B73" s="10" t="s">
        <v>36</v>
      </c>
      <c r="C73" s="10" t="s">
        <v>39</v>
      </c>
      <c r="D73" s="11" t="n">
        <v>6896</v>
      </c>
      <c r="E73" s="11"/>
      <c r="F73" s="12"/>
      <c r="G73" s="10" t="s">
        <v>78</v>
      </c>
    </row>
    <row r="74" customFormat="false" ht="15" hidden="false" customHeight="false" outlineLevel="0" collapsed="false">
      <c r="A74" s="7" t="s">
        <v>77</v>
      </c>
      <c r="B74" s="7" t="s">
        <v>36</v>
      </c>
      <c r="C74" s="7" t="s">
        <v>62</v>
      </c>
      <c r="D74" s="8" t="n">
        <v>5527</v>
      </c>
      <c r="E74" s="8"/>
      <c r="F74" s="9"/>
      <c r="G74" s="7" t="s">
        <v>78</v>
      </c>
    </row>
    <row r="75" customFormat="false" ht="15" hidden="false" customHeight="false" outlineLevel="0" collapsed="false">
      <c r="A75" s="10" t="s">
        <v>77</v>
      </c>
      <c r="B75" s="10" t="s">
        <v>36</v>
      </c>
      <c r="C75" s="10" t="s">
        <v>40</v>
      </c>
      <c r="D75" s="11" t="n">
        <v>5390</v>
      </c>
      <c r="E75" s="11"/>
      <c r="F75" s="12"/>
      <c r="G75" s="10" t="s">
        <v>78</v>
      </c>
    </row>
    <row r="76" customFormat="false" ht="15" hidden="false" customHeight="false" outlineLevel="0" collapsed="false">
      <c r="A76" s="7" t="s">
        <v>77</v>
      </c>
      <c r="B76" s="7" t="s">
        <v>36</v>
      </c>
      <c r="C76" s="7" t="s">
        <v>80</v>
      </c>
      <c r="D76" s="8" t="n">
        <v>5315</v>
      </c>
      <c r="E76" s="8"/>
      <c r="F76" s="9"/>
      <c r="G76" s="7" t="s">
        <v>78</v>
      </c>
    </row>
    <row r="77" customFormat="false" ht="15" hidden="false" customHeight="false" outlineLevel="0" collapsed="false">
      <c r="A77" s="10" t="s">
        <v>77</v>
      </c>
      <c r="B77" s="10" t="s">
        <v>36</v>
      </c>
      <c r="C77" s="10" t="s">
        <v>51</v>
      </c>
      <c r="D77" s="11" t="n">
        <v>5170</v>
      </c>
      <c r="E77" s="11"/>
      <c r="F77" s="12"/>
      <c r="G77" s="10" t="s">
        <v>78</v>
      </c>
    </row>
    <row r="78" customFormat="false" ht="15" hidden="false" customHeight="false" outlineLevel="0" collapsed="false">
      <c r="A78" s="7" t="s">
        <v>77</v>
      </c>
      <c r="B78" s="7" t="s">
        <v>36</v>
      </c>
      <c r="C78" s="7" t="s">
        <v>44</v>
      </c>
      <c r="D78" s="8" t="n">
        <v>3624</v>
      </c>
      <c r="E78" s="8"/>
      <c r="F78" s="9"/>
      <c r="G78" s="7" t="s">
        <v>78</v>
      </c>
    </row>
    <row r="79" customFormat="false" ht="15" hidden="false" customHeight="false" outlineLevel="0" collapsed="false">
      <c r="A79" s="10" t="s">
        <v>77</v>
      </c>
      <c r="B79" s="10" t="s">
        <v>36</v>
      </c>
      <c r="C79" s="10" t="s">
        <v>57</v>
      </c>
      <c r="D79" s="11" t="n">
        <v>3372</v>
      </c>
      <c r="E79" s="11"/>
      <c r="F79" s="12"/>
      <c r="G79" s="10" t="s">
        <v>78</v>
      </c>
    </row>
    <row r="80" customFormat="false" ht="15" hidden="false" customHeight="false" outlineLevel="0" collapsed="false">
      <c r="A80" s="7" t="s">
        <v>77</v>
      </c>
      <c r="B80" s="7" t="s">
        <v>36</v>
      </c>
      <c r="C80" s="7" t="s">
        <v>50</v>
      </c>
      <c r="D80" s="8" t="n">
        <v>2008</v>
      </c>
      <c r="E80" s="8"/>
      <c r="F80" s="9"/>
      <c r="G80" s="7" t="s">
        <v>78</v>
      </c>
    </row>
    <row r="81" customFormat="false" ht="15" hidden="false" customHeight="false" outlineLevel="0" collapsed="false">
      <c r="A81" s="10" t="s">
        <v>77</v>
      </c>
      <c r="B81" s="10" t="s">
        <v>36</v>
      </c>
      <c r="C81" s="10" t="s">
        <v>81</v>
      </c>
      <c r="D81" s="11" t="n">
        <v>1674</v>
      </c>
      <c r="E81" s="11"/>
      <c r="F81" s="12"/>
      <c r="G81" s="10" t="s">
        <v>78</v>
      </c>
    </row>
    <row r="82" customFormat="false" ht="15" hidden="false" customHeight="false" outlineLevel="0" collapsed="false">
      <c r="A82" s="7" t="s">
        <v>77</v>
      </c>
      <c r="B82" s="7" t="s">
        <v>36</v>
      </c>
      <c r="C82" s="7" t="s">
        <v>65</v>
      </c>
      <c r="D82" s="8" t="n">
        <v>1587</v>
      </c>
      <c r="E82" s="8"/>
      <c r="F82" s="9"/>
      <c r="G82" s="7" t="s">
        <v>78</v>
      </c>
    </row>
    <row r="83" customFormat="false" ht="15" hidden="false" customHeight="false" outlineLevel="0" collapsed="false">
      <c r="A83" s="10" t="s">
        <v>77</v>
      </c>
      <c r="B83" s="10" t="s">
        <v>36</v>
      </c>
      <c r="C83" s="10" t="s">
        <v>82</v>
      </c>
      <c r="D83" s="11" t="n">
        <v>1304</v>
      </c>
      <c r="E83" s="11"/>
      <c r="F83" s="12"/>
      <c r="G83" s="10" t="s">
        <v>78</v>
      </c>
    </row>
    <row r="84" customFormat="false" ht="15" hidden="false" customHeight="false" outlineLevel="0" collapsed="false">
      <c r="A84" s="7" t="s">
        <v>77</v>
      </c>
      <c r="B84" s="7" t="s">
        <v>36</v>
      </c>
      <c r="C84" s="7" t="s">
        <v>60</v>
      </c>
      <c r="D84" s="8" t="n">
        <v>1255</v>
      </c>
      <c r="E84" s="8"/>
      <c r="F84" s="9"/>
      <c r="G84" s="7" t="s">
        <v>78</v>
      </c>
    </row>
    <row r="85" customFormat="false" ht="15" hidden="false" customHeight="false" outlineLevel="0" collapsed="false">
      <c r="A85" s="10" t="s">
        <v>77</v>
      </c>
      <c r="B85" s="10" t="s">
        <v>36</v>
      </c>
      <c r="C85" s="10" t="s">
        <v>83</v>
      </c>
      <c r="D85" s="11" t="n">
        <v>1234</v>
      </c>
      <c r="E85" s="11"/>
      <c r="F85" s="12"/>
      <c r="G85" s="10" t="s">
        <v>78</v>
      </c>
    </row>
    <row r="86" customFormat="false" ht="15" hidden="false" customHeight="false" outlineLevel="0" collapsed="false">
      <c r="A86" s="7" t="s">
        <v>77</v>
      </c>
      <c r="B86" s="7" t="s">
        <v>36</v>
      </c>
      <c r="C86" s="7" t="s">
        <v>84</v>
      </c>
      <c r="D86" s="8" t="n">
        <v>1184</v>
      </c>
      <c r="E86" s="8"/>
      <c r="F86" s="9"/>
      <c r="G86" s="7" t="s">
        <v>78</v>
      </c>
    </row>
  </sheetData>
  <autoFilter ref="A1:G8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11"/>
    <col collapsed="false" customWidth="true" hidden="false" outlineLevel="0" max="6" min="6" style="0" width="10"/>
    <col collapsed="false" customWidth="true" hidden="false" outlineLevel="0" max="7" min="7" style="0" width="9"/>
  </cols>
  <sheetData>
    <row r="1" customFormat="false" ht="16.15" hidden="false" customHeight="false" outlineLevel="0" collapsed="false">
      <c r="A1" s="13" t="s">
        <v>85</v>
      </c>
    </row>
    <row r="3" customFormat="false" ht="15" hidden="false" customHeight="false" outlineLevel="0" collapsed="false">
      <c r="A3" s="6" t="s">
        <v>30</v>
      </c>
      <c r="B3" s="6" t="s">
        <v>35</v>
      </c>
      <c r="C3" s="6" t="s">
        <v>63</v>
      </c>
      <c r="D3" s="6" t="s">
        <v>69</v>
      </c>
      <c r="E3" s="6" t="s">
        <v>77</v>
      </c>
      <c r="F3" s="6" t="s">
        <v>86</v>
      </c>
      <c r="G3" s="6" t="s">
        <v>87</v>
      </c>
    </row>
    <row r="4" customFormat="false" ht="15" hidden="false" customHeight="false" outlineLevel="0" collapsed="false">
      <c r="A4" s="10" t="s">
        <v>83</v>
      </c>
      <c r="B4" s="14" t="n">
        <f aca="false">SUMIFS(BASE_NACIONAL!$D$2:$D$86,BASE_NACIONAL!$C$2:$C$86,$A4,BASE_NACIONAL!$A$2:$A$86,B3)</f>
        <v>0</v>
      </c>
      <c r="C4" s="14" t="n">
        <f aca="false">SUMIFS(BASE_NACIONAL!$D$2:$D$86,BASE_NACIONAL!$C$2:$C$86,$A4,BASE_NACIONAL!$A$2:$A$86,C3)</f>
        <v>0</v>
      </c>
      <c r="D4" s="14" t="n">
        <f aca="false">SUMIFS(BASE_NACIONAL!$D$2:$D$86,BASE_NACIONAL!$C$2:$C$86,$A4,BASE_NACIONAL!$A$2:$A$86,D3)</f>
        <v>0</v>
      </c>
      <c r="E4" s="14" t="n">
        <f aca="false">SUMIFS(BASE_NACIONAL!$D$2:$D$86,BASE_NACIONAL!$C$2:$C$86,$A4,BASE_NACIONAL!$A$2:$A$86,E3)</f>
        <v>1234</v>
      </c>
      <c r="F4" s="15" t="n">
        <f aca="false">SUM(B4:E4)</f>
        <v>1234</v>
      </c>
      <c r="G4" s="10" t="n">
        <f aca="false">COUNTIF(B4:E4,"&gt;0")</f>
        <v>1</v>
      </c>
    </row>
    <row r="5" customFormat="false" ht="15" hidden="false" customHeight="false" outlineLevel="0" collapsed="false">
      <c r="A5" s="10" t="s">
        <v>80</v>
      </c>
      <c r="B5" s="14" t="n">
        <f aca="false">SUMIFS(BASE_NACIONAL!$D$2:$D$86,BASE_NACIONAL!$C$2:$C$86,$A5,BASE_NACIONAL!$A$2:$A$86,B3)</f>
        <v>0</v>
      </c>
      <c r="C5" s="14" t="n">
        <f aca="false">SUMIFS(BASE_NACIONAL!$D$2:$D$86,BASE_NACIONAL!$C$2:$C$86,$A5,BASE_NACIONAL!$A$2:$A$86,C3)</f>
        <v>1776</v>
      </c>
      <c r="D5" s="14" t="n">
        <f aca="false">SUMIFS(BASE_NACIONAL!$D$2:$D$86,BASE_NACIONAL!$C$2:$C$86,$A5,BASE_NACIONAL!$A$2:$A$86,D3)</f>
        <v>0</v>
      </c>
      <c r="E5" s="14" t="n">
        <f aca="false">SUMIFS(BASE_NACIONAL!$D$2:$D$86,BASE_NACIONAL!$C$2:$C$86,$A5,BASE_NACIONAL!$A$2:$A$86,E3)</f>
        <v>5315</v>
      </c>
      <c r="F5" s="15" t="n">
        <f aca="false">SUM(B5:E5)</f>
        <v>7091</v>
      </c>
      <c r="G5" s="10" t="n">
        <f aca="false">COUNTIF(B5:E5,"&gt;0")</f>
        <v>2</v>
      </c>
    </row>
    <row r="6" customFormat="false" ht="15" hidden="false" customHeight="false" outlineLevel="0" collapsed="false">
      <c r="A6" s="10" t="s">
        <v>68</v>
      </c>
      <c r="B6" s="14" t="n">
        <f aca="false">SUMIFS(BASE_NACIONAL!$D$2:$D$86,BASE_NACIONAL!$C$2:$C$86,$A6,BASE_NACIONAL!$A$2:$A$86,B3)</f>
        <v>0</v>
      </c>
      <c r="C6" s="14" t="n">
        <f aca="false">SUMIFS(BASE_NACIONAL!$D$2:$D$86,BASE_NACIONAL!$C$2:$C$86,$A6,BASE_NACIONAL!$A$2:$A$86,C3)</f>
        <v>1776</v>
      </c>
      <c r="D6" s="14" t="n">
        <f aca="false">SUMIFS(BASE_NACIONAL!$D$2:$D$86,BASE_NACIONAL!$C$2:$C$86,$A6,BASE_NACIONAL!$A$2:$A$86,D3)</f>
        <v>0</v>
      </c>
      <c r="E6" s="14" t="n">
        <f aca="false">SUMIFS(BASE_NACIONAL!$D$2:$D$86,BASE_NACIONAL!$C$2:$C$86,$A6,BASE_NACIONAL!$A$2:$A$86,E3)</f>
        <v>5315</v>
      </c>
      <c r="F6" s="15" t="n">
        <f aca="false">SUM(B6:E6)</f>
        <v>7091</v>
      </c>
      <c r="G6" s="10" t="n">
        <f aca="false">COUNTIF(B6:E6,"&gt;0")</f>
        <v>2</v>
      </c>
    </row>
    <row r="7" customFormat="false" ht="15" hidden="false" customHeight="false" outlineLevel="0" collapsed="false">
      <c r="A7" s="10" t="s">
        <v>45</v>
      </c>
      <c r="B7" s="14" t="n">
        <f aca="false">SUMIFS(BASE_NACIONAL!$D$2:$D$86,BASE_NACIONAL!$C$2:$C$86,$A7,BASE_NACIONAL!$A$2:$A$86,B3)</f>
        <v>6121</v>
      </c>
      <c r="C7" s="14" t="n">
        <f aca="false">SUMIFS(BASE_NACIONAL!$D$2:$D$86,BASE_NACIONAL!$C$2:$C$86,$A7,BASE_NACIONAL!$A$2:$A$86,C3)</f>
        <v>1160</v>
      </c>
      <c r="D7" s="14" t="n">
        <f aca="false">SUMIFS(BASE_NACIONAL!$D$2:$D$86,BASE_NACIONAL!$C$2:$C$86,$A7,BASE_NACIONAL!$A$2:$A$86,D3)</f>
        <v>4096</v>
      </c>
      <c r="E7" s="14" t="n">
        <f aca="false">SUMIFS(BASE_NACIONAL!$D$2:$D$86,BASE_NACIONAL!$C$2:$C$86,$A7,BASE_NACIONAL!$A$2:$A$86,E3)</f>
        <v>0</v>
      </c>
      <c r="F7" s="15" t="n">
        <f aca="false">SUM(B7:E7)</f>
        <v>11377</v>
      </c>
      <c r="G7" s="10" t="n">
        <f aca="false">COUNTIF(B7:E7,"&gt;0")</f>
        <v>3</v>
      </c>
    </row>
    <row r="8" customFormat="false" ht="15" hidden="false" customHeight="false" outlineLevel="0" collapsed="false">
      <c r="A8" s="10" t="s">
        <v>50</v>
      </c>
      <c r="B8" s="14" t="n">
        <f aca="false">SUMIFS(BASE_NACIONAL!$D$2:$D$86,BASE_NACIONAL!$C$2:$C$86,$A8,BASE_NACIONAL!$A$2:$A$86,B3)</f>
        <v>3618</v>
      </c>
      <c r="C8" s="14" t="n">
        <f aca="false">SUMIFS(BASE_NACIONAL!$D$2:$D$86,BASE_NACIONAL!$C$2:$C$86,$A8,BASE_NACIONAL!$A$2:$A$86,C3)</f>
        <v>3142</v>
      </c>
      <c r="D8" s="14" t="n">
        <f aca="false">SUMIFS(BASE_NACIONAL!$D$2:$D$86,BASE_NACIONAL!$C$2:$C$86,$A8,BASE_NACIONAL!$A$2:$A$86,D3)</f>
        <v>1855</v>
      </c>
      <c r="E8" s="14" t="n">
        <f aca="false">SUMIFS(BASE_NACIONAL!$D$2:$D$86,BASE_NACIONAL!$C$2:$C$86,$A8,BASE_NACIONAL!$A$2:$A$86,E3)</f>
        <v>2008</v>
      </c>
      <c r="F8" s="15" t="n">
        <f aca="false">SUM(B8:E8)</f>
        <v>10623</v>
      </c>
      <c r="G8" s="10" t="n">
        <f aca="false">COUNTIF(B8:E8,"&gt;0")</f>
        <v>4</v>
      </c>
    </row>
    <row r="9" customFormat="false" ht="15" hidden="false" customHeight="false" outlineLevel="0" collapsed="false">
      <c r="A9" s="10" t="s">
        <v>42</v>
      </c>
      <c r="B9" s="14" t="n">
        <f aca="false">SUMIFS(BASE_NACIONAL!$D$2:$D$86,BASE_NACIONAL!$C$2:$C$86,$A9,BASE_NACIONAL!$A$2:$A$86,B3)</f>
        <v>6817</v>
      </c>
      <c r="C9" s="14" t="n">
        <f aca="false">SUMIFS(BASE_NACIONAL!$D$2:$D$86,BASE_NACIONAL!$C$2:$C$86,$A9,BASE_NACIONAL!$A$2:$A$86,C3)</f>
        <v>7731</v>
      </c>
      <c r="D9" s="14" t="n">
        <f aca="false">SUMIFS(BASE_NACIONAL!$D$2:$D$86,BASE_NACIONAL!$C$2:$C$86,$A9,BASE_NACIONAL!$A$2:$A$86,D3)</f>
        <v>1581</v>
      </c>
      <c r="E9" s="14" t="n">
        <f aca="false">SUMIFS(BASE_NACIONAL!$D$2:$D$86,BASE_NACIONAL!$C$2:$C$86,$A9,BASE_NACIONAL!$A$2:$A$86,E3)</f>
        <v>9673</v>
      </c>
      <c r="F9" s="15" t="n">
        <f aca="false">SUM(B9:E9)</f>
        <v>25802</v>
      </c>
      <c r="G9" s="10" t="n">
        <f aca="false">COUNTIF(B9:E9,"&gt;0")</f>
        <v>4</v>
      </c>
    </row>
    <row r="10" customFormat="false" ht="15" hidden="false" customHeight="false" outlineLevel="0" collapsed="false">
      <c r="A10" s="10" t="s">
        <v>60</v>
      </c>
      <c r="B10" s="14" t="n">
        <f aca="false">SUMIFS(BASE_NACIONAL!$D$2:$D$86,BASE_NACIONAL!$C$2:$C$86,$A10,BASE_NACIONAL!$A$2:$A$86,B3)</f>
        <v>1743</v>
      </c>
      <c r="C10" s="14" t="n">
        <f aca="false">SUMIFS(BASE_NACIONAL!$D$2:$D$86,BASE_NACIONAL!$C$2:$C$86,$A10,BASE_NACIONAL!$A$2:$A$86,C3)</f>
        <v>0</v>
      </c>
      <c r="D10" s="14" t="n">
        <f aca="false">SUMIFS(BASE_NACIONAL!$D$2:$D$86,BASE_NACIONAL!$C$2:$C$86,$A10,BASE_NACIONAL!$A$2:$A$86,D3)</f>
        <v>0</v>
      </c>
      <c r="E10" s="14" t="n">
        <f aca="false">SUMIFS(BASE_NACIONAL!$D$2:$D$86,BASE_NACIONAL!$C$2:$C$86,$A10,BASE_NACIONAL!$A$2:$A$86,E3)</f>
        <v>1255</v>
      </c>
      <c r="F10" s="15" t="n">
        <f aca="false">SUM(B10:E10)</f>
        <v>2998</v>
      </c>
      <c r="G10" s="10" t="n">
        <f aca="false">COUNTIF(B10:E10,"&gt;0")</f>
        <v>2</v>
      </c>
    </row>
    <row r="11" customFormat="false" ht="15" hidden="false" customHeight="false" outlineLevel="0" collapsed="false">
      <c r="A11" s="10" t="s">
        <v>84</v>
      </c>
      <c r="B11" s="14" t="n">
        <f aca="false">SUMIFS(BASE_NACIONAL!$D$2:$D$86,BASE_NACIONAL!$C$2:$C$86,$A11,BASE_NACIONAL!$A$2:$A$86,B3)</f>
        <v>0</v>
      </c>
      <c r="C11" s="14" t="n">
        <f aca="false">SUMIFS(BASE_NACIONAL!$D$2:$D$86,BASE_NACIONAL!$C$2:$C$86,$A11,BASE_NACIONAL!$A$2:$A$86,C3)</f>
        <v>0</v>
      </c>
      <c r="D11" s="14" t="n">
        <f aca="false">SUMIFS(BASE_NACIONAL!$D$2:$D$86,BASE_NACIONAL!$C$2:$C$86,$A11,BASE_NACIONAL!$A$2:$A$86,D3)</f>
        <v>0</v>
      </c>
      <c r="E11" s="14" t="n">
        <f aca="false">SUMIFS(BASE_NACIONAL!$D$2:$D$86,BASE_NACIONAL!$C$2:$C$86,$A11,BASE_NACIONAL!$A$2:$A$86,E3)</f>
        <v>1184</v>
      </c>
      <c r="F11" s="15" t="n">
        <f aca="false">SUM(B11:E11)</f>
        <v>1184</v>
      </c>
      <c r="G11" s="10" t="n">
        <f aca="false">COUNTIF(B11:E11,"&gt;0")</f>
        <v>1</v>
      </c>
    </row>
    <row r="12" customFormat="false" ht="15" hidden="false" customHeight="false" outlineLevel="0" collapsed="false">
      <c r="A12" s="10" t="s">
        <v>67</v>
      </c>
      <c r="B12" s="14" t="n">
        <f aca="false">SUMIFS(BASE_NACIONAL!$D$2:$D$86,BASE_NACIONAL!$C$2:$C$86,$A12,BASE_NACIONAL!$A$2:$A$86,B3)</f>
        <v>0</v>
      </c>
      <c r="C12" s="14" t="n">
        <f aca="false">SUMIFS(BASE_NACIONAL!$D$2:$D$86,BASE_NACIONAL!$C$2:$C$86,$A12,BASE_NACIONAL!$A$2:$A$86,C3)</f>
        <v>1832</v>
      </c>
      <c r="D12" s="14" t="n">
        <f aca="false">SUMIFS(BASE_NACIONAL!$D$2:$D$86,BASE_NACIONAL!$C$2:$C$86,$A12,BASE_NACIONAL!$A$2:$A$86,D3)</f>
        <v>1898</v>
      </c>
      <c r="E12" s="14" t="n">
        <f aca="false">SUMIFS(BASE_NACIONAL!$D$2:$D$86,BASE_NACIONAL!$C$2:$C$86,$A12,BASE_NACIONAL!$A$2:$A$86,E3)</f>
        <v>0</v>
      </c>
      <c r="F12" s="15" t="n">
        <f aca="false">SUM(B12:E12)</f>
        <v>3730</v>
      </c>
      <c r="G12" s="10" t="n">
        <f aca="false">COUNTIF(B12:E12,"&gt;0")</f>
        <v>2</v>
      </c>
    </row>
    <row r="13" customFormat="false" ht="15" hidden="false" customHeight="false" outlineLevel="0" collapsed="false">
      <c r="A13" s="10" t="s">
        <v>65</v>
      </c>
      <c r="B13" s="14" t="n">
        <f aca="false">SUMIFS(BASE_NACIONAL!$D$2:$D$86,BASE_NACIONAL!$C$2:$C$86,$A13,BASE_NACIONAL!$A$2:$A$86,B3)</f>
        <v>0</v>
      </c>
      <c r="C13" s="14" t="n">
        <f aca="false">SUMIFS(BASE_NACIONAL!$D$2:$D$86,BASE_NACIONAL!$C$2:$C$86,$A13,BASE_NACIONAL!$A$2:$A$86,C3)</f>
        <v>2252</v>
      </c>
      <c r="D13" s="14" t="n">
        <f aca="false">SUMIFS(BASE_NACIONAL!$D$2:$D$86,BASE_NACIONAL!$C$2:$C$86,$A13,BASE_NACIONAL!$A$2:$A$86,D3)</f>
        <v>0</v>
      </c>
      <c r="E13" s="14" t="n">
        <f aca="false">SUMIFS(BASE_NACIONAL!$D$2:$D$86,BASE_NACIONAL!$C$2:$C$86,$A13,BASE_NACIONAL!$A$2:$A$86,E3)</f>
        <v>1587</v>
      </c>
      <c r="F13" s="15" t="n">
        <f aca="false">SUM(B13:E13)</f>
        <v>3839</v>
      </c>
      <c r="G13" s="10" t="n">
        <f aca="false">COUNTIF(B13:E13,"&gt;0")</f>
        <v>2</v>
      </c>
    </row>
    <row r="14" customFormat="false" ht="15" hidden="false" customHeight="false" outlineLevel="0" collapsed="false">
      <c r="A14" s="10" t="s">
        <v>44</v>
      </c>
      <c r="B14" s="14" t="n">
        <f aca="false">SUMIFS(BASE_NACIONAL!$D$2:$D$86,BASE_NACIONAL!$C$2:$C$86,$A14,BASE_NACIONAL!$A$2:$A$86,B3)</f>
        <v>6375</v>
      </c>
      <c r="C14" s="14" t="n">
        <f aca="false">SUMIFS(BASE_NACIONAL!$D$2:$D$86,BASE_NACIONAL!$C$2:$C$86,$A14,BASE_NACIONAL!$A$2:$A$86,C3)</f>
        <v>0</v>
      </c>
      <c r="D14" s="14" t="n">
        <f aca="false">SUMIFS(BASE_NACIONAL!$D$2:$D$86,BASE_NACIONAL!$C$2:$C$86,$A14,BASE_NACIONAL!$A$2:$A$86,D3)</f>
        <v>2488</v>
      </c>
      <c r="E14" s="14" t="n">
        <f aca="false">SUMIFS(BASE_NACIONAL!$D$2:$D$86,BASE_NACIONAL!$C$2:$C$86,$A14,BASE_NACIONAL!$A$2:$A$86,E3)</f>
        <v>3624</v>
      </c>
      <c r="F14" s="15" t="n">
        <f aca="false">SUM(B14:E14)</f>
        <v>12487</v>
      </c>
      <c r="G14" s="10" t="n">
        <f aca="false">COUNTIF(B14:E14,"&gt;0")</f>
        <v>3</v>
      </c>
    </row>
    <row r="15" customFormat="false" ht="15" hidden="false" customHeight="false" outlineLevel="0" collapsed="false">
      <c r="A15" s="10" t="s">
        <v>76</v>
      </c>
      <c r="B15" s="14" t="n">
        <f aca="false">SUMIFS(BASE_NACIONAL!$D$2:$D$86,BASE_NACIONAL!$C$2:$C$86,$A15,BASE_NACIONAL!$A$2:$A$86,B3)</f>
        <v>0</v>
      </c>
      <c r="C15" s="14" t="n">
        <f aca="false">SUMIFS(BASE_NACIONAL!$D$2:$D$86,BASE_NACIONAL!$C$2:$C$86,$A15,BASE_NACIONAL!$A$2:$A$86,C3)</f>
        <v>0</v>
      </c>
      <c r="D15" s="14" t="n">
        <f aca="false">SUMIFS(BASE_NACIONAL!$D$2:$D$86,BASE_NACIONAL!$C$2:$C$86,$A15,BASE_NACIONAL!$A$2:$A$86,D3)</f>
        <v>273</v>
      </c>
      <c r="E15" s="14" t="n">
        <f aca="false">SUMIFS(BASE_NACIONAL!$D$2:$D$86,BASE_NACIONAL!$C$2:$C$86,$A15,BASE_NACIONAL!$A$2:$A$86,E3)</f>
        <v>0</v>
      </c>
      <c r="F15" s="15" t="n">
        <f aca="false">SUM(B15:E15)</f>
        <v>273</v>
      </c>
      <c r="G15" s="10" t="n">
        <f aca="false">COUNTIF(B15:E15,"&gt;0")</f>
        <v>1</v>
      </c>
    </row>
    <row r="16" customFormat="false" ht="15" hidden="false" customHeight="false" outlineLevel="0" collapsed="false">
      <c r="A16" s="10" t="s">
        <v>57</v>
      </c>
      <c r="B16" s="14" t="n">
        <f aca="false">SUMIFS(BASE_NACIONAL!$D$2:$D$86,BASE_NACIONAL!$C$2:$C$86,$A16,BASE_NACIONAL!$A$2:$A$86,B3)</f>
        <v>2469</v>
      </c>
      <c r="C16" s="14" t="n">
        <f aca="false">SUMIFS(BASE_NACIONAL!$D$2:$D$86,BASE_NACIONAL!$C$2:$C$86,$A16,BASE_NACIONAL!$A$2:$A$86,C3)</f>
        <v>1110</v>
      </c>
      <c r="D16" s="14" t="n">
        <f aca="false">SUMIFS(BASE_NACIONAL!$D$2:$D$86,BASE_NACIONAL!$C$2:$C$86,$A16,BASE_NACIONAL!$A$2:$A$86,D3)</f>
        <v>896</v>
      </c>
      <c r="E16" s="14" t="n">
        <f aca="false">SUMIFS(BASE_NACIONAL!$D$2:$D$86,BASE_NACIONAL!$C$2:$C$86,$A16,BASE_NACIONAL!$A$2:$A$86,E3)</f>
        <v>3372</v>
      </c>
      <c r="F16" s="15" t="n">
        <f aca="false">SUM(B16:E16)</f>
        <v>7847</v>
      </c>
      <c r="G16" s="10" t="n">
        <f aca="false">COUNTIF(B16:E16,"&gt;0")</f>
        <v>4</v>
      </c>
    </row>
    <row r="17" customFormat="false" ht="15" hidden="false" customHeight="false" outlineLevel="0" collapsed="false">
      <c r="A17" s="10" t="s">
        <v>56</v>
      </c>
      <c r="B17" s="14" t="n">
        <f aca="false">SUMIFS(BASE_NACIONAL!$D$2:$D$86,BASE_NACIONAL!$C$2:$C$86,$A17,BASE_NACIONAL!$A$2:$A$86,B3)</f>
        <v>2483</v>
      </c>
      <c r="C17" s="14" t="n">
        <f aca="false">SUMIFS(BASE_NACIONAL!$D$2:$D$86,BASE_NACIONAL!$C$2:$C$86,$A17,BASE_NACIONAL!$A$2:$A$86,C3)</f>
        <v>0</v>
      </c>
      <c r="D17" s="14" t="n">
        <f aca="false">SUMIFS(BASE_NACIONAL!$D$2:$D$86,BASE_NACIONAL!$C$2:$C$86,$A17,BASE_NACIONAL!$A$2:$A$86,D3)</f>
        <v>2614</v>
      </c>
      <c r="E17" s="14" t="n">
        <f aca="false">SUMIFS(BASE_NACIONAL!$D$2:$D$86,BASE_NACIONAL!$C$2:$C$86,$A17,BASE_NACIONAL!$A$2:$A$86,E3)</f>
        <v>0</v>
      </c>
      <c r="F17" s="15" t="n">
        <f aca="false">SUM(B17:E17)</f>
        <v>5097</v>
      </c>
      <c r="G17" s="10" t="n">
        <f aca="false">COUNTIF(B17:E17,"&gt;0")</f>
        <v>2</v>
      </c>
    </row>
    <row r="18" customFormat="false" ht="15" hidden="false" customHeight="false" outlineLevel="0" collapsed="false">
      <c r="A18" s="10" t="s">
        <v>43</v>
      </c>
      <c r="B18" s="14" t="n">
        <f aca="false">SUMIFS(BASE_NACIONAL!$D$2:$D$86,BASE_NACIONAL!$C$2:$C$86,$A18,BASE_NACIONAL!$A$2:$A$86,B3)</f>
        <v>6807</v>
      </c>
      <c r="C18" s="14" t="n">
        <f aca="false">SUMIFS(BASE_NACIONAL!$D$2:$D$86,BASE_NACIONAL!$C$2:$C$86,$A18,BASE_NACIONAL!$A$2:$A$86,C3)</f>
        <v>3508</v>
      </c>
      <c r="D18" s="14" t="n">
        <f aca="false">SUMIFS(BASE_NACIONAL!$D$2:$D$86,BASE_NACIONAL!$C$2:$C$86,$A18,BASE_NACIONAL!$A$2:$A$86,D3)</f>
        <v>983</v>
      </c>
      <c r="E18" s="14" t="n">
        <f aca="false">SUMIFS(BASE_NACIONAL!$D$2:$D$86,BASE_NACIONAL!$C$2:$C$86,$A18,BASE_NACIONAL!$A$2:$A$86,E3)</f>
        <v>0</v>
      </c>
      <c r="F18" s="15" t="n">
        <f aca="false">SUM(B18:E18)</f>
        <v>11298</v>
      </c>
      <c r="G18" s="10" t="n">
        <f aca="false">COUNTIF(B18:E18,"&gt;0")</f>
        <v>3</v>
      </c>
    </row>
    <row r="19" customFormat="false" ht="15" hidden="false" customHeight="false" outlineLevel="0" collapsed="false">
      <c r="A19" s="10" t="s">
        <v>40</v>
      </c>
      <c r="B19" s="14" t="n">
        <f aca="false">SUMIFS(BASE_NACIONAL!$D$2:$D$86,BASE_NACIONAL!$C$2:$C$86,$A19,BASE_NACIONAL!$A$2:$A$86,B3)</f>
        <v>8340</v>
      </c>
      <c r="C19" s="14" t="n">
        <f aca="false">SUMIFS(BASE_NACIONAL!$D$2:$D$86,BASE_NACIONAL!$C$2:$C$86,$A19,BASE_NACIONAL!$A$2:$A$86,C3)</f>
        <v>3600</v>
      </c>
      <c r="D19" s="14" t="n">
        <f aca="false">SUMIFS(BASE_NACIONAL!$D$2:$D$86,BASE_NACIONAL!$C$2:$C$86,$A19,BASE_NACIONAL!$A$2:$A$86,D3)</f>
        <v>5447</v>
      </c>
      <c r="E19" s="14" t="n">
        <f aca="false">SUMIFS(BASE_NACIONAL!$D$2:$D$86,BASE_NACIONAL!$C$2:$C$86,$A19,BASE_NACIONAL!$A$2:$A$86,E3)</f>
        <v>5390</v>
      </c>
      <c r="F19" s="15" t="n">
        <f aca="false">SUM(B19:E19)</f>
        <v>22777</v>
      </c>
      <c r="G19" s="10" t="n">
        <f aca="false">COUNTIF(B19:E19,"&gt;0")</f>
        <v>4</v>
      </c>
    </row>
    <row r="20" customFormat="false" ht="15" hidden="false" customHeight="false" outlineLevel="0" collapsed="false">
      <c r="A20" s="10" t="s">
        <v>81</v>
      </c>
      <c r="B20" s="14" t="n">
        <f aca="false">SUMIFS(BASE_NACIONAL!$D$2:$D$86,BASE_NACIONAL!$C$2:$C$86,$A20,BASE_NACIONAL!$A$2:$A$86,B3)</f>
        <v>2842</v>
      </c>
      <c r="C20" s="14" t="n">
        <f aca="false">SUMIFS(BASE_NACIONAL!$D$2:$D$86,BASE_NACIONAL!$C$2:$C$86,$A20,BASE_NACIONAL!$A$2:$A$86,C3)</f>
        <v>2228</v>
      </c>
      <c r="D20" s="14" t="n">
        <f aca="false">SUMIFS(BASE_NACIONAL!$D$2:$D$86,BASE_NACIONAL!$C$2:$C$86,$A20,BASE_NACIONAL!$A$2:$A$86,D3)</f>
        <v>1273</v>
      </c>
      <c r="E20" s="14" t="n">
        <f aca="false">SUMIFS(BASE_NACIONAL!$D$2:$D$86,BASE_NACIONAL!$C$2:$C$86,$A20,BASE_NACIONAL!$A$2:$A$86,E3)</f>
        <v>1674</v>
      </c>
      <c r="F20" s="15" t="n">
        <f aca="false">SUM(B20:E20)</f>
        <v>8017</v>
      </c>
      <c r="G20" s="10" t="n">
        <f aca="false">COUNTIF(B20:E20,"&gt;0")</f>
        <v>4</v>
      </c>
    </row>
    <row r="21" customFormat="false" ht="15" hidden="false" customHeight="false" outlineLevel="0" collapsed="false">
      <c r="A21" s="10" t="s">
        <v>53</v>
      </c>
      <c r="B21" s="14" t="n">
        <f aca="false">SUMIFS(BASE_NACIONAL!$D$2:$D$86,BASE_NACIONAL!$C$2:$C$86,$A21,BASE_NACIONAL!$A$2:$A$86,B3)</f>
        <v>2842</v>
      </c>
      <c r="C21" s="14" t="n">
        <f aca="false">SUMIFS(BASE_NACIONAL!$D$2:$D$86,BASE_NACIONAL!$C$2:$C$86,$A21,BASE_NACIONAL!$A$2:$A$86,C3)</f>
        <v>2228</v>
      </c>
      <c r="D21" s="14" t="n">
        <f aca="false">SUMIFS(BASE_NACIONAL!$D$2:$D$86,BASE_NACIONAL!$C$2:$C$86,$A21,BASE_NACIONAL!$A$2:$A$86,D3)</f>
        <v>1273</v>
      </c>
      <c r="E21" s="14" t="n">
        <f aca="false">SUMIFS(BASE_NACIONAL!$D$2:$D$86,BASE_NACIONAL!$C$2:$C$86,$A21,BASE_NACIONAL!$A$2:$A$86,E3)</f>
        <v>1674</v>
      </c>
      <c r="F21" s="15" t="n">
        <f aca="false">SUM(B21:E21)</f>
        <v>8017</v>
      </c>
      <c r="G21" s="10" t="n">
        <f aca="false">COUNTIF(B21:E21,"&gt;0")</f>
        <v>4</v>
      </c>
    </row>
    <row r="22" customFormat="false" ht="15" hidden="false" customHeight="false" outlineLevel="0" collapsed="false">
      <c r="A22" s="10" t="s">
        <v>52</v>
      </c>
      <c r="B22" s="14" t="n">
        <f aca="false">SUMIFS(BASE_NACIONAL!$D$2:$D$86,BASE_NACIONAL!$C$2:$C$86,$A22,BASE_NACIONAL!$A$2:$A$86,B3)</f>
        <v>2937</v>
      </c>
      <c r="C22" s="14" t="n">
        <f aca="false">SUMIFS(BASE_NACIONAL!$D$2:$D$86,BASE_NACIONAL!$C$2:$C$86,$A22,BASE_NACIONAL!$A$2:$A$86,C3)</f>
        <v>1502</v>
      </c>
      <c r="D22" s="14" t="n">
        <f aca="false">SUMIFS(BASE_NACIONAL!$D$2:$D$86,BASE_NACIONAL!$C$2:$C$86,$A22,BASE_NACIONAL!$A$2:$A$86,D3)</f>
        <v>3313</v>
      </c>
      <c r="E22" s="14" t="n">
        <f aca="false">SUMIFS(BASE_NACIONAL!$D$2:$D$86,BASE_NACIONAL!$C$2:$C$86,$A22,BASE_NACIONAL!$A$2:$A$86,E3)</f>
        <v>0</v>
      </c>
      <c r="F22" s="15" t="n">
        <f aca="false">SUM(B22:E22)</f>
        <v>7752</v>
      </c>
      <c r="G22" s="10" t="n">
        <f aca="false">COUNTIF(B22:E22,"&gt;0")</f>
        <v>3</v>
      </c>
    </row>
    <row r="23" customFormat="false" ht="15" hidden="false" customHeight="false" outlineLevel="0" collapsed="false">
      <c r="A23" s="10" t="s">
        <v>61</v>
      </c>
      <c r="B23" s="14" t="n">
        <f aca="false">SUMIFS(BASE_NACIONAL!$D$2:$D$86,BASE_NACIONAL!$C$2:$C$86,$A23,BASE_NACIONAL!$A$2:$A$86,B3)</f>
        <v>1253</v>
      </c>
      <c r="C23" s="14" t="n">
        <f aca="false">SUMIFS(BASE_NACIONAL!$D$2:$D$86,BASE_NACIONAL!$C$2:$C$86,$A23,BASE_NACIONAL!$A$2:$A$86,C3)</f>
        <v>0</v>
      </c>
      <c r="D23" s="14" t="n">
        <f aca="false">SUMIFS(BASE_NACIONAL!$D$2:$D$86,BASE_NACIONAL!$C$2:$C$86,$A23,BASE_NACIONAL!$A$2:$A$86,D3)</f>
        <v>667</v>
      </c>
      <c r="E23" s="14" t="n">
        <f aca="false">SUMIFS(BASE_NACIONAL!$D$2:$D$86,BASE_NACIONAL!$C$2:$C$86,$A23,BASE_NACIONAL!$A$2:$A$86,E3)</f>
        <v>0</v>
      </c>
      <c r="F23" s="15" t="n">
        <f aca="false">SUM(B23:E23)</f>
        <v>1920</v>
      </c>
      <c r="G23" s="10" t="n">
        <f aca="false">COUNTIF(B23:E23,"&gt;0")</f>
        <v>2</v>
      </c>
    </row>
    <row r="24" customFormat="false" ht="15" hidden="false" customHeight="false" outlineLevel="0" collapsed="false">
      <c r="A24" s="10" t="s">
        <v>41</v>
      </c>
      <c r="B24" s="14" t="n">
        <f aca="false">SUMIFS(BASE_NACIONAL!$D$2:$D$86,BASE_NACIONAL!$C$2:$C$86,$A24,BASE_NACIONAL!$A$2:$A$86,B3)</f>
        <v>7575</v>
      </c>
      <c r="C24" s="14" t="n">
        <f aca="false">SUMIFS(BASE_NACIONAL!$D$2:$D$86,BASE_NACIONAL!$C$2:$C$86,$A24,BASE_NACIONAL!$A$2:$A$86,C3)</f>
        <v>10235</v>
      </c>
      <c r="D24" s="14" t="n">
        <f aca="false">SUMIFS(BASE_NACIONAL!$D$2:$D$86,BASE_NACIONAL!$C$2:$C$86,$A24,BASE_NACIONAL!$A$2:$A$86,D3)</f>
        <v>5908</v>
      </c>
      <c r="E24" s="14" t="n">
        <f aca="false">SUMIFS(BASE_NACIONAL!$D$2:$D$86,BASE_NACIONAL!$C$2:$C$86,$A24,BASE_NACIONAL!$A$2:$A$86,E3)</f>
        <v>17440</v>
      </c>
      <c r="F24" s="15" t="n">
        <f aca="false">SUM(B24:E24)</f>
        <v>41158</v>
      </c>
      <c r="G24" s="10" t="n">
        <f aca="false">COUNTIF(B24:E24,"&gt;0")</f>
        <v>4</v>
      </c>
    </row>
    <row r="25" customFormat="false" ht="15" hidden="false" customHeight="false" outlineLevel="0" collapsed="false">
      <c r="A25" s="10" t="s">
        <v>74</v>
      </c>
      <c r="B25" s="14" t="n">
        <f aca="false">SUMIFS(BASE_NACIONAL!$D$2:$D$86,BASE_NACIONAL!$C$2:$C$86,$A25,BASE_NACIONAL!$A$2:$A$86,B3)</f>
        <v>0</v>
      </c>
      <c r="C25" s="14" t="n">
        <f aca="false">SUMIFS(BASE_NACIONAL!$D$2:$D$86,BASE_NACIONAL!$C$2:$C$86,$A25,BASE_NACIONAL!$A$2:$A$86,C3)</f>
        <v>0</v>
      </c>
      <c r="D25" s="14" t="n">
        <f aca="false">SUMIFS(BASE_NACIONAL!$D$2:$D$86,BASE_NACIONAL!$C$2:$C$86,$A25,BASE_NACIONAL!$A$2:$A$86,D3)</f>
        <v>261</v>
      </c>
      <c r="E25" s="14" t="n">
        <f aca="false">SUMIFS(BASE_NACIONAL!$D$2:$D$86,BASE_NACIONAL!$C$2:$C$86,$A25,BASE_NACIONAL!$A$2:$A$86,E3)</f>
        <v>0</v>
      </c>
      <c r="F25" s="15" t="n">
        <f aca="false">SUM(B25:E25)</f>
        <v>261</v>
      </c>
      <c r="G25" s="10" t="n">
        <f aca="false">COUNTIF(B25:E25,"&gt;0")</f>
        <v>1</v>
      </c>
    </row>
    <row r="26" customFormat="false" ht="15" hidden="false" customHeight="false" outlineLevel="0" collapsed="false">
      <c r="A26" s="10" t="s">
        <v>75</v>
      </c>
      <c r="B26" s="14" t="n">
        <f aca="false">SUMIFS(BASE_NACIONAL!$D$2:$D$86,BASE_NACIONAL!$C$2:$C$86,$A26,BASE_NACIONAL!$A$2:$A$86,B3)</f>
        <v>0</v>
      </c>
      <c r="C26" s="14" t="n">
        <f aca="false">SUMIFS(BASE_NACIONAL!$D$2:$D$86,BASE_NACIONAL!$C$2:$C$86,$A26,BASE_NACIONAL!$A$2:$A$86,C3)</f>
        <v>0</v>
      </c>
      <c r="D26" s="14" t="n">
        <f aca="false">SUMIFS(BASE_NACIONAL!$D$2:$D$86,BASE_NACIONAL!$C$2:$C$86,$A26,BASE_NACIONAL!$A$2:$A$86,D3)</f>
        <v>222</v>
      </c>
      <c r="E26" s="14" t="n">
        <f aca="false">SUMIFS(BASE_NACIONAL!$D$2:$D$86,BASE_NACIONAL!$C$2:$C$86,$A26,BASE_NACIONAL!$A$2:$A$86,E3)</f>
        <v>0</v>
      </c>
      <c r="F26" s="15" t="n">
        <f aca="false">SUM(B26:E26)</f>
        <v>222</v>
      </c>
      <c r="G26" s="10" t="n">
        <f aca="false">COUNTIF(B26:E26,"&gt;0")</f>
        <v>1</v>
      </c>
    </row>
    <row r="27" customFormat="false" ht="15" hidden="false" customHeight="false" outlineLevel="0" collapsed="false">
      <c r="A27" s="10" t="s">
        <v>54</v>
      </c>
      <c r="B27" s="14" t="n">
        <f aca="false">SUMIFS(BASE_NACIONAL!$D$2:$D$86,BASE_NACIONAL!$C$2:$C$86,$A27,BASE_NACIONAL!$A$2:$A$86,B3)</f>
        <v>2513</v>
      </c>
      <c r="C27" s="14" t="n">
        <f aca="false">SUMIFS(BASE_NACIONAL!$D$2:$D$86,BASE_NACIONAL!$C$2:$C$86,$A27,BASE_NACIONAL!$A$2:$A$86,C3)</f>
        <v>0</v>
      </c>
      <c r="D27" s="14" t="n">
        <f aca="false">SUMIFS(BASE_NACIONAL!$D$2:$D$86,BASE_NACIONAL!$C$2:$C$86,$A27,BASE_NACIONAL!$A$2:$A$86,D3)</f>
        <v>0</v>
      </c>
      <c r="E27" s="14" t="n">
        <f aca="false">SUMIFS(BASE_NACIONAL!$D$2:$D$86,BASE_NACIONAL!$C$2:$C$86,$A27,BASE_NACIONAL!$A$2:$A$86,E3)</f>
        <v>0</v>
      </c>
      <c r="F27" s="15" t="n">
        <f aca="false">SUM(B27:E27)</f>
        <v>2513</v>
      </c>
      <c r="G27" s="10" t="n">
        <f aca="false">COUNTIF(B27:E27,"&gt;0")</f>
        <v>1</v>
      </c>
    </row>
    <row r="28" customFormat="false" ht="15" hidden="false" customHeight="false" outlineLevel="0" collapsed="false">
      <c r="A28" s="10" t="s">
        <v>49</v>
      </c>
      <c r="B28" s="14" t="n">
        <f aca="false">SUMIFS(BASE_NACIONAL!$D$2:$D$86,BASE_NACIONAL!$C$2:$C$86,$A28,BASE_NACIONAL!$A$2:$A$86,B3)</f>
        <v>3842</v>
      </c>
      <c r="C28" s="14" t="n">
        <f aca="false">SUMIFS(BASE_NACIONAL!$D$2:$D$86,BASE_NACIONAL!$C$2:$C$86,$A28,BASE_NACIONAL!$A$2:$A$86,C3)</f>
        <v>1456</v>
      </c>
      <c r="D28" s="14" t="n">
        <f aca="false">SUMIFS(BASE_NACIONAL!$D$2:$D$86,BASE_NACIONAL!$C$2:$C$86,$A28,BASE_NACIONAL!$A$2:$A$86,D3)</f>
        <v>0</v>
      </c>
      <c r="E28" s="14" t="n">
        <f aca="false">SUMIFS(BASE_NACIONAL!$D$2:$D$86,BASE_NACIONAL!$C$2:$C$86,$A28,BASE_NACIONAL!$A$2:$A$86,E3)</f>
        <v>9786</v>
      </c>
      <c r="F28" s="15" t="n">
        <f aca="false">SUM(B28:E28)</f>
        <v>15084</v>
      </c>
      <c r="G28" s="10" t="n">
        <f aca="false">COUNTIF(B28:E28,"&gt;0")</f>
        <v>3</v>
      </c>
    </row>
    <row r="29" customFormat="false" ht="15" hidden="false" customHeight="false" outlineLevel="0" collapsed="false">
      <c r="A29" s="10" t="s">
        <v>82</v>
      </c>
      <c r="B29" s="14" t="n">
        <f aca="false">SUMIFS(BASE_NACIONAL!$D$2:$D$86,BASE_NACIONAL!$C$2:$C$86,$A29,BASE_NACIONAL!$A$2:$A$86,B3)</f>
        <v>0</v>
      </c>
      <c r="C29" s="14" t="n">
        <f aca="false">SUMIFS(BASE_NACIONAL!$D$2:$D$86,BASE_NACIONAL!$C$2:$C$86,$A29,BASE_NACIONAL!$A$2:$A$86,C3)</f>
        <v>0</v>
      </c>
      <c r="D29" s="14" t="n">
        <f aca="false">SUMIFS(BASE_NACIONAL!$D$2:$D$86,BASE_NACIONAL!$C$2:$C$86,$A29,BASE_NACIONAL!$A$2:$A$86,D3)</f>
        <v>0</v>
      </c>
      <c r="E29" s="14" t="n">
        <f aca="false">SUMIFS(BASE_NACIONAL!$D$2:$D$86,BASE_NACIONAL!$C$2:$C$86,$A29,BASE_NACIONAL!$A$2:$A$86,E3)</f>
        <v>1304</v>
      </c>
      <c r="F29" s="15" t="n">
        <f aca="false">SUM(B29:E29)</f>
        <v>1304</v>
      </c>
      <c r="G29" s="10" t="n">
        <f aca="false">COUNTIF(B29:E29,"&gt;0")</f>
        <v>1</v>
      </c>
    </row>
    <row r="30" customFormat="false" ht="15" hidden="false" customHeight="false" outlineLevel="0" collapsed="false">
      <c r="A30" s="10" t="s">
        <v>48</v>
      </c>
      <c r="B30" s="14" t="n">
        <f aca="false">SUMIFS(BASE_NACIONAL!$D$2:$D$86,BASE_NACIONAL!$C$2:$C$86,$A30,BASE_NACIONAL!$A$2:$A$86,B3)</f>
        <v>4790</v>
      </c>
      <c r="C30" s="14" t="n">
        <f aca="false">SUMIFS(BASE_NACIONAL!$D$2:$D$86,BASE_NACIONAL!$C$2:$C$86,$A30,BASE_NACIONAL!$A$2:$A$86,C3)</f>
        <v>710</v>
      </c>
      <c r="D30" s="14" t="n">
        <f aca="false">SUMIFS(BASE_NACIONAL!$D$2:$D$86,BASE_NACIONAL!$C$2:$C$86,$A30,BASE_NACIONAL!$A$2:$A$86,D3)</f>
        <v>0</v>
      </c>
      <c r="E30" s="14" t="n">
        <f aca="false">SUMIFS(BASE_NACIONAL!$D$2:$D$86,BASE_NACIONAL!$C$2:$C$86,$A30,BASE_NACIONAL!$A$2:$A$86,E3)</f>
        <v>0</v>
      </c>
      <c r="F30" s="15" t="n">
        <f aca="false">SUM(B30:E30)</f>
        <v>5500</v>
      </c>
      <c r="G30" s="10" t="n">
        <f aca="false">COUNTIF(B30:E30,"&gt;0")</f>
        <v>2</v>
      </c>
    </row>
    <row r="31" customFormat="false" ht="15" hidden="false" customHeight="false" outlineLevel="0" collapsed="false">
      <c r="A31" s="10" t="s">
        <v>47</v>
      </c>
      <c r="B31" s="14" t="n">
        <f aca="false">SUMIFS(BASE_NACIONAL!$D$2:$D$86,BASE_NACIONAL!$C$2:$C$86,$A31,BASE_NACIONAL!$A$2:$A$86,B3)</f>
        <v>4901</v>
      </c>
      <c r="C31" s="14" t="n">
        <f aca="false">SUMIFS(BASE_NACIONAL!$D$2:$D$86,BASE_NACIONAL!$C$2:$C$86,$A31,BASE_NACIONAL!$A$2:$A$86,C3)</f>
        <v>0</v>
      </c>
      <c r="D31" s="14" t="n">
        <f aca="false">SUMIFS(BASE_NACIONAL!$D$2:$D$86,BASE_NACIONAL!$C$2:$C$86,$A31,BASE_NACIONAL!$A$2:$A$86,D3)</f>
        <v>1172</v>
      </c>
      <c r="E31" s="14" t="n">
        <f aca="false">SUMIFS(BASE_NACIONAL!$D$2:$D$86,BASE_NACIONAL!$C$2:$C$86,$A31,BASE_NACIONAL!$A$2:$A$86,E3)</f>
        <v>0</v>
      </c>
      <c r="F31" s="15" t="n">
        <f aca="false">SUM(B31:E31)</f>
        <v>6073</v>
      </c>
      <c r="G31" s="10" t="n">
        <f aca="false">COUNTIF(B31:E31,"&gt;0")</f>
        <v>2</v>
      </c>
    </row>
    <row r="32" customFormat="false" ht="15" hidden="false" customHeight="false" outlineLevel="0" collapsed="false">
      <c r="A32" s="10" t="s">
        <v>62</v>
      </c>
      <c r="B32" s="14" t="n">
        <f aca="false">SUMIFS(BASE_NACIONAL!$D$2:$D$86,BASE_NACIONAL!$C$2:$C$86,$A32,BASE_NACIONAL!$A$2:$A$86,B3)</f>
        <v>1220</v>
      </c>
      <c r="C32" s="14" t="n">
        <f aca="false">SUMIFS(BASE_NACIONAL!$D$2:$D$86,BASE_NACIONAL!$C$2:$C$86,$A32,BASE_NACIONAL!$A$2:$A$86,C3)</f>
        <v>0</v>
      </c>
      <c r="D32" s="14" t="n">
        <f aca="false">SUMIFS(BASE_NACIONAL!$D$2:$D$86,BASE_NACIONAL!$C$2:$C$86,$A32,BASE_NACIONAL!$A$2:$A$86,D3)</f>
        <v>174</v>
      </c>
      <c r="E32" s="14" t="n">
        <f aca="false">SUMIFS(BASE_NACIONAL!$D$2:$D$86,BASE_NACIONAL!$C$2:$C$86,$A32,BASE_NACIONAL!$A$2:$A$86,E3)</f>
        <v>5527</v>
      </c>
      <c r="F32" s="15" t="n">
        <f aca="false">SUM(B32:E32)</f>
        <v>6921</v>
      </c>
      <c r="G32" s="10" t="n">
        <f aca="false">COUNTIF(B32:E32,"&gt;0")</f>
        <v>3</v>
      </c>
    </row>
    <row r="33" customFormat="false" ht="15" hidden="false" customHeight="false" outlineLevel="0" collapsed="false">
      <c r="A33" s="10" t="s">
        <v>58</v>
      </c>
      <c r="B33" s="14" t="n">
        <f aca="false">SUMIFS(BASE_NACIONAL!$D$2:$D$86,BASE_NACIONAL!$C$2:$C$86,$A33,BASE_NACIONAL!$A$2:$A$86,B3)</f>
        <v>2101</v>
      </c>
      <c r="C33" s="14" t="n">
        <f aca="false">SUMIFS(BASE_NACIONAL!$D$2:$D$86,BASE_NACIONAL!$C$2:$C$86,$A33,BASE_NACIONAL!$A$2:$A$86,C3)</f>
        <v>0</v>
      </c>
      <c r="D33" s="14" t="n">
        <f aca="false">SUMIFS(BASE_NACIONAL!$D$2:$D$86,BASE_NACIONAL!$C$2:$C$86,$A33,BASE_NACIONAL!$A$2:$A$86,D3)</f>
        <v>0</v>
      </c>
      <c r="E33" s="14" t="n">
        <f aca="false">SUMIFS(BASE_NACIONAL!$D$2:$D$86,BASE_NACIONAL!$C$2:$C$86,$A33,BASE_NACIONAL!$A$2:$A$86,E3)</f>
        <v>0</v>
      </c>
      <c r="F33" s="15" t="n">
        <f aca="false">SUM(B33:E33)</f>
        <v>2101</v>
      </c>
      <c r="G33" s="10" t="n">
        <f aca="false">COUNTIF(B33:E33,"&gt;0")</f>
        <v>1</v>
      </c>
    </row>
    <row r="34" customFormat="false" ht="15" hidden="false" customHeight="false" outlineLevel="0" collapsed="false">
      <c r="A34" s="10" t="s">
        <v>46</v>
      </c>
      <c r="B34" s="14" t="n">
        <f aca="false">SUMIFS(BASE_NACIONAL!$D$2:$D$86,BASE_NACIONAL!$C$2:$C$86,$A34,BASE_NACIONAL!$A$2:$A$86,B3)</f>
        <v>5699</v>
      </c>
      <c r="C34" s="14" t="n">
        <f aca="false">SUMIFS(BASE_NACIONAL!$D$2:$D$86,BASE_NACIONAL!$C$2:$C$86,$A34,BASE_NACIONAL!$A$2:$A$86,C3)</f>
        <v>0</v>
      </c>
      <c r="D34" s="14" t="n">
        <f aca="false">SUMIFS(BASE_NACIONAL!$D$2:$D$86,BASE_NACIONAL!$C$2:$C$86,$A34,BASE_NACIONAL!$A$2:$A$86,D3)</f>
        <v>0</v>
      </c>
      <c r="E34" s="14" t="n">
        <f aca="false">SUMIFS(BASE_NACIONAL!$D$2:$D$86,BASE_NACIONAL!$C$2:$C$86,$A34,BASE_NACIONAL!$A$2:$A$86,E3)</f>
        <v>0</v>
      </c>
      <c r="F34" s="15" t="n">
        <f aca="false">SUM(B34:E34)</f>
        <v>5699</v>
      </c>
      <c r="G34" s="10" t="n">
        <f aca="false">COUNTIF(B34:E34,"&gt;0")</f>
        <v>1</v>
      </c>
    </row>
    <row r="35" customFormat="false" ht="15" hidden="false" customHeight="false" outlineLevel="0" collapsed="false">
      <c r="A35" s="10" t="s">
        <v>59</v>
      </c>
      <c r="B35" s="14" t="n">
        <f aca="false">SUMIFS(BASE_NACIONAL!$D$2:$D$86,BASE_NACIONAL!$C$2:$C$86,$A35,BASE_NACIONAL!$A$2:$A$86,B3)</f>
        <v>1819</v>
      </c>
      <c r="C35" s="14" t="n">
        <f aca="false">SUMIFS(BASE_NACIONAL!$D$2:$D$86,BASE_NACIONAL!$C$2:$C$86,$A35,BASE_NACIONAL!$A$2:$A$86,C3)</f>
        <v>0</v>
      </c>
      <c r="D35" s="14" t="n">
        <f aca="false">SUMIFS(BASE_NACIONAL!$D$2:$D$86,BASE_NACIONAL!$C$2:$C$86,$A35,BASE_NACIONAL!$A$2:$A$86,D3)</f>
        <v>0</v>
      </c>
      <c r="E35" s="14" t="n">
        <f aca="false">SUMIFS(BASE_NACIONAL!$D$2:$D$86,BASE_NACIONAL!$C$2:$C$86,$A35,BASE_NACIONAL!$A$2:$A$86,E3)</f>
        <v>0</v>
      </c>
      <c r="F35" s="15" t="n">
        <f aca="false">SUM(B35:E35)</f>
        <v>1819</v>
      </c>
      <c r="G35" s="10" t="n">
        <f aca="false">COUNTIF(B35:E35,"&gt;0")</f>
        <v>1</v>
      </c>
    </row>
    <row r="36" customFormat="false" ht="15" hidden="false" customHeight="false" outlineLevel="0" collapsed="false">
      <c r="A36" s="10" t="s">
        <v>72</v>
      </c>
      <c r="B36" s="14" t="n">
        <f aca="false">SUMIFS(BASE_NACIONAL!$D$2:$D$86,BASE_NACIONAL!$C$2:$C$86,$A36,BASE_NACIONAL!$A$2:$A$86,B3)</f>
        <v>0</v>
      </c>
      <c r="C36" s="14" t="n">
        <f aca="false">SUMIFS(BASE_NACIONAL!$D$2:$D$86,BASE_NACIONAL!$C$2:$C$86,$A36,BASE_NACIONAL!$A$2:$A$86,C3)</f>
        <v>0</v>
      </c>
      <c r="D36" s="14" t="n">
        <f aca="false">SUMIFS(BASE_NACIONAL!$D$2:$D$86,BASE_NACIONAL!$C$2:$C$86,$A36,BASE_NACIONAL!$A$2:$A$86,D3)</f>
        <v>100</v>
      </c>
      <c r="E36" s="14" t="n">
        <f aca="false">SUMIFS(BASE_NACIONAL!$D$2:$D$86,BASE_NACIONAL!$C$2:$C$86,$A36,BASE_NACIONAL!$A$2:$A$86,E3)</f>
        <v>13247</v>
      </c>
      <c r="F36" s="15" t="n">
        <f aca="false">SUM(B36:E36)</f>
        <v>13347</v>
      </c>
      <c r="G36" s="10" t="n">
        <f aca="false">COUNTIF(B36:E36,"&gt;0")</f>
        <v>2</v>
      </c>
    </row>
    <row r="37" customFormat="false" ht="15" hidden="false" customHeight="false" outlineLevel="0" collapsed="false">
      <c r="A37" s="10" t="s">
        <v>73</v>
      </c>
      <c r="B37" s="14" t="n">
        <f aca="false">SUMIFS(BASE_NACIONAL!$D$2:$D$86,BASE_NACIONAL!$C$2:$C$86,$A37,BASE_NACIONAL!$A$2:$A$86,B3)</f>
        <v>0</v>
      </c>
      <c r="C37" s="14" t="n">
        <f aca="false">SUMIFS(BASE_NACIONAL!$D$2:$D$86,BASE_NACIONAL!$C$2:$C$86,$A37,BASE_NACIONAL!$A$2:$A$86,C3)</f>
        <v>0</v>
      </c>
      <c r="D37" s="14" t="n">
        <f aca="false">SUMIFS(BASE_NACIONAL!$D$2:$D$86,BASE_NACIONAL!$C$2:$C$86,$A37,BASE_NACIONAL!$A$2:$A$86,D3)</f>
        <v>418</v>
      </c>
      <c r="E37" s="14" t="n">
        <f aca="false">SUMIFS(BASE_NACIONAL!$D$2:$D$86,BASE_NACIONAL!$C$2:$C$86,$A37,BASE_NACIONAL!$A$2:$A$86,E3)</f>
        <v>0</v>
      </c>
      <c r="F37" s="15" t="n">
        <f aca="false">SUM(B37:E37)</f>
        <v>418</v>
      </c>
      <c r="G37" s="10" t="n">
        <f aca="false">COUNTIF(B37:E37,"&gt;0")</f>
        <v>1</v>
      </c>
    </row>
    <row r="38" customFormat="false" ht="15" hidden="false" customHeight="false" outlineLevel="0" collapsed="false">
      <c r="A38" s="10" t="s">
        <v>66</v>
      </c>
      <c r="B38" s="14" t="n">
        <f aca="false">SUMIFS(BASE_NACIONAL!$D$2:$D$86,BASE_NACIONAL!$C$2:$C$86,$A38,BASE_NACIONAL!$A$2:$A$86,B3)</f>
        <v>0</v>
      </c>
      <c r="C38" s="14" t="n">
        <f aca="false">SUMIFS(BASE_NACIONAL!$D$2:$D$86,BASE_NACIONAL!$C$2:$C$86,$A38,BASE_NACIONAL!$A$2:$A$86,C3)</f>
        <v>2086</v>
      </c>
      <c r="D38" s="14" t="n">
        <f aca="false">SUMIFS(BASE_NACIONAL!$D$2:$D$86,BASE_NACIONAL!$C$2:$C$86,$A38,BASE_NACIONAL!$A$2:$A$86,D3)</f>
        <v>0</v>
      </c>
      <c r="E38" s="14" t="n">
        <f aca="false">SUMIFS(BASE_NACIONAL!$D$2:$D$86,BASE_NACIONAL!$C$2:$C$86,$A38,BASE_NACIONAL!$A$2:$A$86,E3)</f>
        <v>0</v>
      </c>
      <c r="F38" s="15" t="n">
        <f aca="false">SUM(B38:E38)</f>
        <v>2086</v>
      </c>
      <c r="G38" s="10" t="n">
        <f aca="false">COUNTIF(B38:E38,"&gt;0")</f>
        <v>1</v>
      </c>
    </row>
    <row r="39" customFormat="false" ht="15" hidden="false" customHeight="false" outlineLevel="0" collapsed="false">
      <c r="A39" s="10" t="s">
        <v>55</v>
      </c>
      <c r="B39" s="14" t="n">
        <f aca="false">SUMIFS(BASE_NACIONAL!$D$2:$D$86,BASE_NACIONAL!$C$2:$C$86,$A39,BASE_NACIONAL!$A$2:$A$86,B3)</f>
        <v>2495</v>
      </c>
      <c r="C39" s="14" t="n">
        <f aca="false">SUMIFS(BASE_NACIONAL!$D$2:$D$86,BASE_NACIONAL!$C$2:$C$86,$A39,BASE_NACIONAL!$A$2:$A$86,C3)</f>
        <v>0</v>
      </c>
      <c r="D39" s="14" t="n">
        <f aca="false">SUMIFS(BASE_NACIONAL!$D$2:$D$86,BASE_NACIONAL!$C$2:$C$86,$A39,BASE_NACIONAL!$A$2:$A$86,D3)</f>
        <v>0</v>
      </c>
      <c r="E39" s="14" t="n">
        <f aca="false">SUMIFS(BASE_NACIONAL!$D$2:$D$86,BASE_NACIONAL!$C$2:$C$86,$A39,BASE_NACIONAL!$A$2:$A$86,E3)</f>
        <v>0</v>
      </c>
      <c r="F39" s="15" t="n">
        <f aca="false">SUM(B39:E39)</f>
        <v>2495</v>
      </c>
      <c r="G39" s="10" t="n">
        <f aca="false">COUNTIF(B39:E39,"&gt;0")</f>
        <v>1</v>
      </c>
    </row>
    <row r="40" customFormat="false" ht="15" hidden="false" customHeight="false" outlineLevel="0" collapsed="false">
      <c r="A40" s="10" t="s">
        <v>39</v>
      </c>
      <c r="B40" s="14" t="n">
        <f aca="false">SUMIFS(BASE_NACIONAL!$D$2:$D$86,BASE_NACIONAL!$C$2:$C$86,$A40,BASE_NACIONAL!$A$2:$A$86,B3)</f>
        <v>9781</v>
      </c>
      <c r="C40" s="14" t="n">
        <f aca="false">SUMIFS(BASE_NACIONAL!$D$2:$D$86,BASE_NACIONAL!$C$2:$C$86,$A40,BASE_NACIONAL!$A$2:$A$86,C3)</f>
        <v>1875</v>
      </c>
      <c r="D40" s="14" t="n">
        <f aca="false">SUMIFS(BASE_NACIONAL!$D$2:$D$86,BASE_NACIONAL!$C$2:$C$86,$A40,BASE_NACIONAL!$A$2:$A$86,D3)</f>
        <v>1894</v>
      </c>
      <c r="E40" s="14" t="n">
        <f aca="false">SUMIFS(BASE_NACIONAL!$D$2:$D$86,BASE_NACIONAL!$C$2:$C$86,$A40,BASE_NACIONAL!$A$2:$A$86,E3)</f>
        <v>6896</v>
      </c>
      <c r="F40" s="15" t="n">
        <f aca="false">SUM(B40:E40)</f>
        <v>20446</v>
      </c>
      <c r="G40" s="10" t="n">
        <f aca="false">COUNTIF(B40:E40,"&gt;0")</f>
        <v>4</v>
      </c>
    </row>
    <row r="41" customFormat="false" ht="15" hidden="false" customHeight="false" outlineLevel="0" collapsed="false">
      <c r="A41" s="10" t="s">
        <v>79</v>
      </c>
      <c r="B41" s="14" t="n">
        <f aca="false">SUMIFS(BASE_NACIONAL!$D$2:$D$86,BASE_NACIONAL!$C$2:$C$86,$A41,BASE_NACIONAL!$A$2:$A$86,B3)</f>
        <v>0</v>
      </c>
      <c r="C41" s="14" t="n">
        <f aca="false">SUMIFS(BASE_NACIONAL!$D$2:$D$86,BASE_NACIONAL!$C$2:$C$86,$A41,BASE_NACIONAL!$A$2:$A$86,C3)</f>
        <v>0</v>
      </c>
      <c r="D41" s="14" t="n">
        <f aca="false">SUMIFS(BASE_NACIONAL!$D$2:$D$86,BASE_NACIONAL!$C$2:$C$86,$A41,BASE_NACIONAL!$A$2:$A$86,D3)</f>
        <v>0</v>
      </c>
      <c r="E41" s="14" t="n">
        <f aca="false">SUMIFS(BASE_NACIONAL!$D$2:$D$86,BASE_NACIONAL!$C$2:$C$86,$A41,BASE_NACIONAL!$A$2:$A$86,E3)</f>
        <v>7735</v>
      </c>
      <c r="F41" s="15" t="n">
        <f aca="false">SUM(B41:E41)</f>
        <v>7735</v>
      </c>
      <c r="G41" s="10" t="n">
        <f aca="false">COUNTIF(B41:E41,"&gt;0")</f>
        <v>1</v>
      </c>
    </row>
    <row r="42" customFormat="false" ht="15" hidden="false" customHeight="false" outlineLevel="0" collapsed="false">
      <c r="A42" s="10" t="s">
        <v>37</v>
      </c>
      <c r="B42" s="14" t="n">
        <f aca="false">SUMIFS(BASE_NACIONAL!$D$2:$D$86,BASE_NACIONAL!$C$2:$C$86,$A42,BASE_NACIONAL!$A$2:$A$86,B3)</f>
        <v>10497</v>
      </c>
      <c r="C42" s="14" t="n">
        <f aca="false">SUMIFS(BASE_NACIONAL!$D$2:$D$86,BASE_NACIONAL!$C$2:$C$86,$A42,BASE_NACIONAL!$A$2:$A$86,C3)</f>
        <v>3044</v>
      </c>
      <c r="D42" s="14" t="n">
        <f aca="false">SUMIFS(BASE_NACIONAL!$D$2:$D$86,BASE_NACIONAL!$C$2:$C$86,$A42,BASE_NACIONAL!$A$2:$A$86,D3)</f>
        <v>11379</v>
      </c>
      <c r="E42" s="14" t="n">
        <f aca="false">SUMIFS(BASE_NACIONAL!$D$2:$D$86,BASE_NACIONAL!$C$2:$C$86,$A42,BASE_NACIONAL!$A$2:$A$86,E3)</f>
        <v>9852</v>
      </c>
      <c r="F42" s="15" t="n">
        <f aca="false">SUM(B42:E42)</f>
        <v>34772</v>
      </c>
      <c r="G42" s="10" t="n">
        <f aca="false">COUNTIF(B42:E42,"&gt;0")</f>
        <v>4</v>
      </c>
    </row>
    <row r="43" customFormat="false" ht="15" hidden="false" customHeight="false" outlineLevel="0" collapsed="false">
      <c r="A43" s="10" t="s">
        <v>51</v>
      </c>
      <c r="B43" s="14" t="n">
        <f aca="false">SUMIFS(BASE_NACIONAL!$D$2:$D$86,BASE_NACIONAL!$C$2:$C$86,$A43,BASE_NACIONAL!$A$2:$A$86,B3)</f>
        <v>3169</v>
      </c>
      <c r="C43" s="14" t="n">
        <f aca="false">SUMIFS(BASE_NACIONAL!$D$2:$D$86,BASE_NACIONAL!$C$2:$C$86,$A43,BASE_NACIONAL!$A$2:$A$86,C3)</f>
        <v>1330</v>
      </c>
      <c r="D43" s="14" t="n">
        <f aca="false">SUMIFS(BASE_NACIONAL!$D$2:$D$86,BASE_NACIONAL!$C$2:$C$86,$A43,BASE_NACIONAL!$A$2:$A$86,D3)</f>
        <v>0</v>
      </c>
      <c r="E43" s="14" t="n">
        <f aca="false">SUMIFS(BASE_NACIONAL!$D$2:$D$86,BASE_NACIONAL!$C$2:$C$86,$A43,BASE_NACIONAL!$A$2:$A$86,E3)</f>
        <v>5170</v>
      </c>
      <c r="F43" s="15" t="n">
        <f aca="false">SUM(B43:E43)</f>
        <v>9669</v>
      </c>
      <c r="G43" s="10" t="n">
        <f aca="false">COUNTIF(B43:E43,"&gt;0")</f>
        <v>3</v>
      </c>
    </row>
  </sheetData>
  <autoFilter ref="A3:G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6" min="4" style="0" width="11"/>
    <col collapsed="false" customWidth="true" hidden="false" outlineLevel="0" max="7" min="7" style="0" width="9"/>
  </cols>
  <sheetData>
    <row r="1" customFormat="false" ht="23.85" hidden="false" customHeight="false" outlineLevel="0" collapsed="false">
      <c r="A1" s="6" t="s">
        <v>88</v>
      </c>
      <c r="B1" s="6" t="s">
        <v>89</v>
      </c>
      <c r="C1" s="6" t="s">
        <v>30</v>
      </c>
      <c r="D1" s="6" t="s">
        <v>90</v>
      </c>
      <c r="E1" s="6" t="s">
        <v>91</v>
      </c>
      <c r="F1" s="6" t="s">
        <v>33</v>
      </c>
      <c r="G1" s="6" t="s">
        <v>92</v>
      </c>
    </row>
    <row r="2" customFormat="false" ht="15" hidden="false" customHeight="false" outlineLevel="0" collapsed="false">
      <c r="A2" s="10" t="s">
        <v>93</v>
      </c>
      <c r="B2" s="10" t="n">
        <v>1</v>
      </c>
      <c r="C2" s="10" t="s">
        <v>41</v>
      </c>
      <c r="D2" s="11" t="n">
        <v>1955</v>
      </c>
      <c r="E2" s="11" t="n">
        <v>2898</v>
      </c>
      <c r="F2" s="12" t="n">
        <v>0.482</v>
      </c>
      <c r="G2" s="12" t="n">
        <v>0.327</v>
      </c>
    </row>
    <row r="3" customFormat="false" ht="15" hidden="false" customHeight="false" outlineLevel="0" collapsed="false">
      <c r="A3" s="10" t="s">
        <v>93</v>
      </c>
      <c r="B3" s="10" t="n">
        <v>2</v>
      </c>
      <c r="C3" s="10" t="s">
        <v>40</v>
      </c>
      <c r="D3" s="11" t="n">
        <v>1591</v>
      </c>
      <c r="E3" s="11" t="n">
        <v>1948</v>
      </c>
      <c r="F3" s="12" t="n">
        <v>0.224</v>
      </c>
      <c r="G3" s="12" t="n">
        <v>0.22</v>
      </c>
    </row>
    <row r="4" customFormat="false" ht="15" hidden="false" customHeight="false" outlineLevel="0" collapsed="false">
      <c r="A4" s="10" t="s">
        <v>93</v>
      </c>
      <c r="B4" s="10" t="n">
        <v>3</v>
      </c>
      <c r="C4" s="10" t="s">
        <v>37</v>
      </c>
      <c r="D4" s="11" t="n">
        <v>866</v>
      </c>
      <c r="E4" s="11" t="n">
        <v>1483</v>
      </c>
      <c r="F4" s="12" t="n">
        <v>0.712</v>
      </c>
      <c r="G4" s="12" t="n">
        <v>0.168</v>
      </c>
    </row>
    <row r="5" customFormat="false" ht="15" hidden="false" customHeight="false" outlineLevel="0" collapsed="false">
      <c r="A5" s="10" t="s">
        <v>93</v>
      </c>
      <c r="B5" s="10" t="n">
        <v>4</v>
      </c>
      <c r="C5" s="10" t="s">
        <v>39</v>
      </c>
      <c r="D5" s="11" t="n">
        <v>227</v>
      </c>
      <c r="E5" s="11" t="n">
        <v>680</v>
      </c>
      <c r="F5" s="12" t="n">
        <v>1.996</v>
      </c>
      <c r="G5" s="12" t="n">
        <v>0.077</v>
      </c>
    </row>
    <row r="6" customFormat="false" ht="15" hidden="false" customHeight="false" outlineLevel="0" collapsed="false">
      <c r="A6" s="10" t="s">
        <v>93</v>
      </c>
      <c r="B6" s="10" t="n">
        <v>5</v>
      </c>
      <c r="C6" s="10" t="s">
        <v>42</v>
      </c>
      <c r="D6" s="11" t="n">
        <v>378</v>
      </c>
      <c r="E6" s="11" t="n">
        <v>458</v>
      </c>
      <c r="F6" s="12" t="n">
        <v>0.212</v>
      </c>
      <c r="G6" s="12" t="n">
        <v>0.052</v>
      </c>
    </row>
    <row r="7" customFormat="false" ht="15" hidden="false" customHeight="false" outlineLevel="0" collapsed="false">
      <c r="A7" s="10" t="s">
        <v>93</v>
      </c>
      <c r="B7" s="10" t="n">
        <v>6</v>
      </c>
      <c r="C7" s="10" t="s">
        <v>50</v>
      </c>
      <c r="D7" s="11" t="n">
        <v>184</v>
      </c>
      <c r="E7" s="11" t="n">
        <v>378</v>
      </c>
      <c r="F7" s="12" t="n">
        <v>1.054</v>
      </c>
      <c r="G7" s="12" t="n">
        <v>0.043</v>
      </c>
    </row>
    <row r="8" customFormat="false" ht="15" hidden="false" customHeight="false" outlineLevel="0" collapsed="false">
      <c r="A8" s="10" t="s">
        <v>93</v>
      </c>
      <c r="B8" s="10" t="n">
        <v>7</v>
      </c>
      <c r="C8" s="10" t="s">
        <v>45</v>
      </c>
      <c r="D8" s="11" t="n">
        <v>153</v>
      </c>
      <c r="E8" s="11" t="n">
        <v>175</v>
      </c>
      <c r="F8" s="12" t="n">
        <v>0.144</v>
      </c>
      <c r="G8" s="12" t="n">
        <v>0.02</v>
      </c>
    </row>
    <row r="9" customFormat="false" ht="15" hidden="false" customHeight="false" outlineLevel="0" collapsed="false">
      <c r="A9" s="10" t="s">
        <v>93</v>
      </c>
      <c r="B9" s="10" t="n">
        <v>8</v>
      </c>
      <c r="C9" s="10" t="s">
        <v>62</v>
      </c>
      <c r="D9" s="11" t="n">
        <v>365</v>
      </c>
      <c r="E9" s="11" t="n">
        <v>174</v>
      </c>
      <c r="F9" s="12" t="n">
        <v>-0.523</v>
      </c>
      <c r="G9" s="12" t="n">
        <v>0.02</v>
      </c>
    </row>
    <row r="10" customFormat="false" ht="15" hidden="false" customHeight="false" outlineLevel="0" collapsed="false">
      <c r="A10" s="10" t="s">
        <v>93</v>
      </c>
      <c r="B10" s="10" t="n">
        <v>9</v>
      </c>
      <c r="C10" s="10" t="s">
        <v>56</v>
      </c>
      <c r="D10" s="11" t="n">
        <v>63</v>
      </c>
      <c r="E10" s="11" t="n">
        <v>154</v>
      </c>
      <c r="F10" s="12" t="n">
        <v>1.444</v>
      </c>
      <c r="G10" s="12" t="n">
        <v>0.017</v>
      </c>
    </row>
    <row r="11" customFormat="false" ht="15" hidden="false" customHeight="false" outlineLevel="0" collapsed="false">
      <c r="A11" s="10" t="s">
        <v>93</v>
      </c>
      <c r="B11" s="10" t="n">
        <v>10</v>
      </c>
      <c r="C11" s="10" t="s">
        <v>72</v>
      </c>
      <c r="D11" s="11" t="n">
        <v>109</v>
      </c>
      <c r="E11" s="11" t="n">
        <v>100</v>
      </c>
      <c r="F11" s="12" t="n">
        <v>-0.083</v>
      </c>
      <c r="G11" s="12" t="n">
        <v>0.011</v>
      </c>
    </row>
    <row r="12" customFormat="false" ht="15" hidden="false" customHeight="false" outlineLevel="0" collapsed="false">
      <c r="A12" s="10" t="s">
        <v>94</v>
      </c>
      <c r="B12" s="10" t="n">
        <v>1</v>
      </c>
      <c r="C12" s="10" t="s">
        <v>45</v>
      </c>
      <c r="D12" s="11" t="n">
        <v>1303</v>
      </c>
      <c r="E12" s="11" t="n">
        <v>1832</v>
      </c>
      <c r="F12" s="12" t="n">
        <v>0.406</v>
      </c>
      <c r="G12" s="12" t="n">
        <v>0.226</v>
      </c>
    </row>
    <row r="13" customFormat="false" ht="15" hidden="false" customHeight="false" outlineLevel="0" collapsed="false">
      <c r="A13" s="10" t="s">
        <v>94</v>
      </c>
      <c r="B13" s="10" t="n">
        <v>2</v>
      </c>
      <c r="C13" s="10" t="s">
        <v>37</v>
      </c>
      <c r="D13" s="11" t="n">
        <v>1234</v>
      </c>
      <c r="E13" s="11" t="n">
        <v>1505</v>
      </c>
      <c r="F13" s="12" t="n">
        <v>0.22</v>
      </c>
      <c r="G13" s="12" t="n">
        <v>0.186</v>
      </c>
    </row>
    <row r="14" customFormat="false" ht="15" hidden="false" customHeight="false" outlineLevel="0" collapsed="false">
      <c r="A14" s="10" t="s">
        <v>94</v>
      </c>
      <c r="B14" s="10" t="n">
        <v>3</v>
      </c>
      <c r="C14" s="10" t="s">
        <v>42</v>
      </c>
      <c r="D14" s="11" t="n">
        <v>1023</v>
      </c>
      <c r="E14" s="11" t="n">
        <v>1123</v>
      </c>
      <c r="F14" s="12" t="n">
        <v>0.098</v>
      </c>
      <c r="G14" s="12" t="n">
        <v>0.139</v>
      </c>
    </row>
    <row r="15" customFormat="false" ht="15" hidden="false" customHeight="false" outlineLevel="0" collapsed="false">
      <c r="A15" s="10" t="s">
        <v>94</v>
      </c>
      <c r="B15" s="10" t="n">
        <v>4</v>
      </c>
      <c r="C15" s="10" t="s">
        <v>95</v>
      </c>
      <c r="D15" s="11" t="n">
        <v>587</v>
      </c>
      <c r="E15" s="11" t="n">
        <v>639</v>
      </c>
      <c r="F15" s="12" t="n">
        <v>0.089</v>
      </c>
      <c r="G15" s="12" t="n">
        <v>0.079</v>
      </c>
    </row>
    <row r="16" customFormat="false" ht="15" hidden="false" customHeight="false" outlineLevel="0" collapsed="false">
      <c r="A16" s="10" t="s">
        <v>94</v>
      </c>
      <c r="B16" s="10" t="n">
        <v>5</v>
      </c>
      <c r="C16" s="10" t="s">
        <v>73</v>
      </c>
      <c r="D16" s="11" t="n">
        <v>295</v>
      </c>
      <c r="E16" s="11" t="n">
        <v>418</v>
      </c>
      <c r="F16" s="12" t="n">
        <v>0.417</v>
      </c>
      <c r="G16" s="12" t="n">
        <v>0.052</v>
      </c>
    </row>
    <row r="17" customFormat="false" ht="15" hidden="false" customHeight="false" outlineLevel="0" collapsed="false">
      <c r="A17" s="10" t="s">
        <v>94</v>
      </c>
      <c r="B17" s="10" t="n">
        <v>6</v>
      </c>
      <c r="C17" s="10" t="s">
        <v>47</v>
      </c>
      <c r="D17" s="11" t="n">
        <v>412</v>
      </c>
      <c r="E17" s="11" t="n">
        <v>373</v>
      </c>
      <c r="F17" s="12" t="n">
        <v>-0.095</v>
      </c>
      <c r="G17" s="12" t="n">
        <v>0.046</v>
      </c>
    </row>
    <row r="18" customFormat="false" ht="15" hidden="false" customHeight="false" outlineLevel="0" collapsed="false">
      <c r="A18" s="10" t="s">
        <v>94</v>
      </c>
      <c r="B18" s="10" t="n">
        <v>7</v>
      </c>
      <c r="C18" s="10" t="s">
        <v>57</v>
      </c>
      <c r="D18" s="11" t="n">
        <v>164</v>
      </c>
      <c r="E18" s="11" t="n">
        <v>309</v>
      </c>
      <c r="F18" s="12" t="n">
        <v>0.884</v>
      </c>
      <c r="G18" s="12" t="n">
        <v>0.038</v>
      </c>
    </row>
    <row r="19" customFormat="false" ht="15" hidden="false" customHeight="false" outlineLevel="0" collapsed="false">
      <c r="A19" s="10" t="s">
        <v>94</v>
      </c>
      <c r="B19" s="10" t="n">
        <v>8</v>
      </c>
      <c r="C19" s="10" t="s">
        <v>74</v>
      </c>
      <c r="D19" s="11" t="n">
        <v>160</v>
      </c>
      <c r="E19" s="11" t="n">
        <v>261</v>
      </c>
      <c r="F19" s="12" t="n">
        <v>0.631</v>
      </c>
      <c r="G19" s="12" t="n">
        <v>0.032</v>
      </c>
    </row>
    <row r="20" customFormat="false" ht="15" hidden="false" customHeight="false" outlineLevel="0" collapsed="false">
      <c r="A20" s="10" t="s">
        <v>94</v>
      </c>
      <c r="B20" s="10" t="n">
        <v>9</v>
      </c>
      <c r="C20" s="10" t="s">
        <v>81</v>
      </c>
      <c r="D20" s="11" t="n">
        <v>152</v>
      </c>
      <c r="E20" s="11" t="n">
        <v>222</v>
      </c>
      <c r="F20" s="12" t="n">
        <v>0.461</v>
      </c>
      <c r="G20" s="12" t="n">
        <v>0.027</v>
      </c>
    </row>
    <row r="21" customFormat="false" ht="15" hidden="false" customHeight="false" outlineLevel="0" collapsed="false">
      <c r="A21" s="10" t="s">
        <v>94</v>
      </c>
      <c r="B21" s="10" t="n">
        <v>10</v>
      </c>
      <c r="C21" s="10" t="s">
        <v>96</v>
      </c>
      <c r="D21" s="11" t="n">
        <v>154</v>
      </c>
      <c r="E21" s="11" t="n">
        <v>222</v>
      </c>
      <c r="F21" s="12" t="n">
        <v>0.442</v>
      </c>
      <c r="G21" s="12" t="n">
        <v>0.027</v>
      </c>
    </row>
    <row r="22" customFormat="false" ht="15" hidden="false" customHeight="false" outlineLevel="0" collapsed="false">
      <c r="A22" s="10" t="s">
        <v>97</v>
      </c>
      <c r="B22" s="10" t="n">
        <v>1</v>
      </c>
      <c r="C22" s="10" t="s">
        <v>37</v>
      </c>
      <c r="D22" s="11" t="n">
        <v>3723</v>
      </c>
      <c r="E22" s="11" t="n">
        <v>3183</v>
      </c>
      <c r="F22" s="12" t="n">
        <v>-0.145</v>
      </c>
      <c r="G22" s="12" t="n">
        <v>0.279</v>
      </c>
    </row>
    <row r="23" customFormat="false" ht="15" hidden="false" customHeight="false" outlineLevel="0" collapsed="false">
      <c r="A23" s="10" t="s">
        <v>97</v>
      </c>
      <c r="B23" s="10" t="n">
        <v>2</v>
      </c>
      <c r="C23" s="10" t="s">
        <v>81</v>
      </c>
      <c r="D23" s="11" t="n">
        <v>605</v>
      </c>
      <c r="E23" s="11" t="n">
        <v>1051</v>
      </c>
      <c r="F23" s="12" t="n">
        <v>0.737</v>
      </c>
      <c r="G23" s="12" t="n">
        <v>0.092</v>
      </c>
    </row>
    <row r="24" customFormat="false" ht="15" hidden="false" customHeight="false" outlineLevel="0" collapsed="false">
      <c r="A24" s="10" t="s">
        <v>97</v>
      </c>
      <c r="B24" s="10" t="n">
        <v>3</v>
      </c>
      <c r="C24" s="10" t="s">
        <v>44</v>
      </c>
      <c r="D24" s="11" t="n">
        <v>780</v>
      </c>
      <c r="E24" s="11" t="n">
        <v>990</v>
      </c>
      <c r="F24" s="12" t="n">
        <v>0.269</v>
      </c>
      <c r="G24" s="12" t="n">
        <v>0.087</v>
      </c>
    </row>
    <row r="25" customFormat="false" ht="15" hidden="false" customHeight="false" outlineLevel="0" collapsed="false">
      <c r="A25" s="10" t="s">
        <v>97</v>
      </c>
      <c r="B25" s="10" t="n">
        <v>4</v>
      </c>
      <c r="C25" s="10" t="s">
        <v>43</v>
      </c>
      <c r="D25" s="11" t="n">
        <v>554</v>
      </c>
      <c r="E25" s="11" t="n">
        <v>983</v>
      </c>
      <c r="F25" s="12" t="n">
        <v>0.774</v>
      </c>
      <c r="G25" s="12" t="n">
        <v>0.086</v>
      </c>
    </row>
    <row r="26" customFormat="false" ht="15" hidden="false" customHeight="false" outlineLevel="0" collapsed="false">
      <c r="A26" s="10" t="s">
        <v>97</v>
      </c>
      <c r="B26" s="10" t="n">
        <v>5</v>
      </c>
      <c r="C26" s="10" t="s">
        <v>47</v>
      </c>
      <c r="D26" s="11" t="n">
        <v>596</v>
      </c>
      <c r="E26" s="11" t="n">
        <v>799</v>
      </c>
      <c r="F26" s="12" t="n">
        <v>0.341</v>
      </c>
      <c r="G26" s="12" t="n">
        <v>0.07</v>
      </c>
    </row>
    <row r="27" customFormat="false" ht="15" hidden="false" customHeight="false" outlineLevel="0" collapsed="false">
      <c r="A27" s="10" t="s">
        <v>97</v>
      </c>
      <c r="B27" s="10" t="n">
        <v>6</v>
      </c>
      <c r="C27" s="10" t="s">
        <v>98</v>
      </c>
      <c r="D27" s="11" t="n">
        <v>443</v>
      </c>
      <c r="E27" s="11" t="n">
        <v>667</v>
      </c>
      <c r="F27" s="12" t="n">
        <v>0.506</v>
      </c>
      <c r="G27" s="12" t="n">
        <v>0.058</v>
      </c>
    </row>
    <row r="28" customFormat="false" ht="15" hidden="false" customHeight="false" outlineLevel="0" collapsed="false">
      <c r="A28" s="10" t="s">
        <v>97</v>
      </c>
      <c r="B28" s="10" t="n">
        <v>7</v>
      </c>
      <c r="C28" s="10" t="s">
        <v>57</v>
      </c>
      <c r="D28" s="11" t="n">
        <v>324</v>
      </c>
      <c r="E28" s="11" t="n">
        <v>587</v>
      </c>
      <c r="F28" s="12" t="n">
        <v>0.812</v>
      </c>
      <c r="G28" s="12" t="n">
        <v>0.051</v>
      </c>
    </row>
    <row r="29" customFormat="false" ht="15" hidden="false" customHeight="false" outlineLevel="0" collapsed="false">
      <c r="A29" s="10" t="s">
        <v>97</v>
      </c>
      <c r="B29" s="10" t="n">
        <v>8</v>
      </c>
      <c r="C29" s="10" t="s">
        <v>40</v>
      </c>
      <c r="D29" s="11" t="n">
        <v>442</v>
      </c>
      <c r="E29" s="11" t="n">
        <v>558</v>
      </c>
      <c r="F29" s="12" t="n">
        <v>0.262</v>
      </c>
      <c r="G29" s="12" t="n">
        <v>0.049</v>
      </c>
    </row>
    <row r="30" customFormat="false" ht="15" hidden="false" customHeight="false" outlineLevel="0" collapsed="false">
      <c r="A30" s="10" t="s">
        <v>97</v>
      </c>
      <c r="B30" s="10" t="n">
        <v>9</v>
      </c>
      <c r="C30" s="10" t="s">
        <v>41</v>
      </c>
      <c r="D30" s="11" t="n">
        <v>294</v>
      </c>
      <c r="E30" s="11" t="n">
        <v>452</v>
      </c>
      <c r="F30" s="12" t="n">
        <v>0.537</v>
      </c>
      <c r="G30" s="12" t="n">
        <v>0.04</v>
      </c>
    </row>
    <row r="31" customFormat="false" ht="15" hidden="false" customHeight="false" outlineLevel="0" collapsed="false">
      <c r="A31" s="10" t="s">
        <v>97</v>
      </c>
      <c r="B31" s="10" t="n">
        <v>10</v>
      </c>
      <c r="C31" s="10" t="s">
        <v>76</v>
      </c>
      <c r="D31" s="11" t="n">
        <v>192</v>
      </c>
      <c r="E31" s="11" t="n">
        <v>273</v>
      </c>
      <c r="F31" s="12" t="n">
        <v>0.422</v>
      </c>
      <c r="G31" s="12" t="n">
        <v>0.024</v>
      </c>
    </row>
    <row r="32" customFormat="false" ht="15" hidden="false" customHeight="false" outlineLevel="0" collapsed="false">
      <c r="A32" s="10" t="s">
        <v>99</v>
      </c>
      <c r="B32" s="10" t="n">
        <v>1</v>
      </c>
      <c r="C32" s="10" t="s">
        <v>37</v>
      </c>
      <c r="D32" s="11" t="n">
        <v>3497</v>
      </c>
      <c r="E32" s="11" t="n">
        <v>5208</v>
      </c>
      <c r="F32" s="12" t="n">
        <v>0.489</v>
      </c>
      <c r="G32" s="12" t="n">
        <v>0.154</v>
      </c>
    </row>
    <row r="33" customFormat="false" ht="15" hidden="false" customHeight="false" outlineLevel="0" collapsed="false">
      <c r="A33" s="10" t="s">
        <v>99</v>
      </c>
      <c r="B33" s="10" t="n">
        <v>2</v>
      </c>
      <c r="C33" s="10" t="s">
        <v>52</v>
      </c>
      <c r="D33" s="11" t="n">
        <v>1391</v>
      </c>
      <c r="E33" s="11" t="n">
        <v>3313</v>
      </c>
      <c r="F33" s="12" t="n">
        <v>1.382</v>
      </c>
      <c r="G33" s="12" t="n">
        <v>0.098</v>
      </c>
    </row>
    <row r="34" customFormat="false" ht="15" hidden="false" customHeight="false" outlineLevel="0" collapsed="false">
      <c r="A34" s="10" t="s">
        <v>99</v>
      </c>
      <c r="B34" s="10" t="n">
        <v>3</v>
      </c>
      <c r="C34" s="10" t="s">
        <v>40</v>
      </c>
      <c r="D34" s="11" t="n">
        <v>1849</v>
      </c>
      <c r="E34" s="11" t="n">
        <v>2941</v>
      </c>
      <c r="F34" s="12" t="n">
        <v>0.591</v>
      </c>
      <c r="G34" s="12" t="n">
        <v>0.087</v>
      </c>
    </row>
    <row r="35" customFormat="false" ht="15" hidden="false" customHeight="false" outlineLevel="0" collapsed="false">
      <c r="A35" s="10" t="s">
        <v>99</v>
      </c>
      <c r="B35" s="10" t="n">
        <v>4</v>
      </c>
      <c r="C35" s="10" t="s">
        <v>41</v>
      </c>
      <c r="D35" s="11" t="n">
        <v>1954</v>
      </c>
      <c r="E35" s="11" t="n">
        <v>2558</v>
      </c>
      <c r="F35" s="12" t="n">
        <v>0.309</v>
      </c>
      <c r="G35" s="12" t="n">
        <v>0.076</v>
      </c>
    </row>
    <row r="36" customFormat="false" ht="15" hidden="false" customHeight="false" outlineLevel="0" collapsed="false">
      <c r="A36" s="10" t="s">
        <v>99</v>
      </c>
      <c r="B36" s="10" t="n">
        <v>5</v>
      </c>
      <c r="C36" s="10" t="s">
        <v>56</v>
      </c>
      <c r="D36" s="11" t="n">
        <v>1074</v>
      </c>
      <c r="E36" s="11" t="n">
        <v>2460</v>
      </c>
      <c r="F36" s="12" t="n">
        <v>1.291</v>
      </c>
      <c r="G36" s="12" t="n">
        <v>0.073</v>
      </c>
    </row>
    <row r="37" customFormat="false" ht="15" hidden="false" customHeight="false" outlineLevel="0" collapsed="false">
      <c r="A37" s="10" t="s">
        <v>99</v>
      </c>
      <c r="B37" s="10" t="n">
        <v>6</v>
      </c>
      <c r="C37" s="10" t="s">
        <v>45</v>
      </c>
      <c r="D37" s="11" t="n">
        <v>1044</v>
      </c>
      <c r="E37" s="11" t="n">
        <v>2089</v>
      </c>
      <c r="F37" s="12" t="n">
        <v>1.001</v>
      </c>
      <c r="G37" s="12" t="n">
        <v>0.062</v>
      </c>
    </row>
    <row r="38" customFormat="false" ht="15" hidden="false" customHeight="false" outlineLevel="0" collapsed="false">
      <c r="A38" s="10" t="s">
        <v>99</v>
      </c>
      <c r="B38" s="10" t="n">
        <v>7</v>
      </c>
      <c r="C38" s="10" t="s">
        <v>44</v>
      </c>
      <c r="D38" s="11" t="n">
        <v>926</v>
      </c>
      <c r="E38" s="11" t="n">
        <v>1498</v>
      </c>
      <c r="F38" s="12" t="n">
        <v>0.618</v>
      </c>
      <c r="G38" s="12" t="n">
        <v>0.044</v>
      </c>
    </row>
    <row r="39" customFormat="false" ht="15" hidden="false" customHeight="false" outlineLevel="0" collapsed="false">
      <c r="A39" s="10" t="s">
        <v>99</v>
      </c>
      <c r="B39" s="10" t="n">
        <v>8</v>
      </c>
      <c r="C39" s="10" t="s">
        <v>50</v>
      </c>
      <c r="D39" s="11" t="n">
        <v>855</v>
      </c>
      <c r="E39" s="11" t="n">
        <v>1477</v>
      </c>
      <c r="F39" s="12" t="n">
        <v>0.727</v>
      </c>
      <c r="G39" s="12" t="n">
        <v>0.044</v>
      </c>
    </row>
    <row r="40" customFormat="false" ht="15" hidden="false" customHeight="false" outlineLevel="0" collapsed="false">
      <c r="A40" s="10" t="s">
        <v>99</v>
      </c>
      <c r="B40" s="10" t="n">
        <v>9</v>
      </c>
      <c r="C40" s="10" t="s">
        <v>95</v>
      </c>
      <c r="D40" s="11" t="n">
        <v>1160</v>
      </c>
      <c r="E40" s="11" t="n">
        <v>1259</v>
      </c>
      <c r="F40" s="12" t="n">
        <v>0.085</v>
      </c>
      <c r="G40" s="12" t="n">
        <v>0.037</v>
      </c>
    </row>
    <row r="41" customFormat="false" ht="15" hidden="false" customHeight="false" outlineLevel="0" collapsed="false">
      <c r="A41" s="10" t="s">
        <v>99</v>
      </c>
      <c r="B41" s="10" t="n">
        <v>10</v>
      </c>
      <c r="C41" s="10" t="s">
        <v>39</v>
      </c>
      <c r="D41" s="11" t="n">
        <v>808</v>
      </c>
      <c r="E41" s="11" t="n">
        <v>1214</v>
      </c>
      <c r="F41" s="12" t="n">
        <v>0.502</v>
      </c>
      <c r="G41" s="12" t="n">
        <v>0.036</v>
      </c>
    </row>
  </sheetData>
  <autoFilter ref="A1:G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1"/>
  </cols>
  <sheetData>
    <row r="1" customFormat="false" ht="23.85" hidden="false" customHeight="false" outlineLevel="0" collapsed="false">
      <c r="A1" s="6" t="s">
        <v>28</v>
      </c>
      <c r="B1" s="6" t="s">
        <v>100</v>
      </c>
      <c r="C1" s="6" t="s">
        <v>101</v>
      </c>
      <c r="D1" s="6" t="s">
        <v>30</v>
      </c>
      <c r="E1" s="6" t="s">
        <v>102</v>
      </c>
      <c r="F1" s="6" t="s">
        <v>103</v>
      </c>
    </row>
    <row r="2" customFormat="false" ht="15" hidden="false" customHeight="false" outlineLevel="0" collapsed="false">
      <c r="A2" s="10" t="s">
        <v>69</v>
      </c>
      <c r="B2" s="11" t="n">
        <v>2025</v>
      </c>
      <c r="C2" s="11" t="n">
        <v>1</v>
      </c>
      <c r="D2" s="10" t="s">
        <v>83</v>
      </c>
      <c r="E2" s="11" t="n">
        <v>46</v>
      </c>
      <c r="F2" s="11" t="n">
        <v>46</v>
      </c>
    </row>
    <row r="3" customFormat="false" ht="15" hidden="false" customHeight="false" outlineLevel="0" collapsed="false">
      <c r="A3" s="10" t="s">
        <v>69</v>
      </c>
      <c r="B3" s="11" t="n">
        <v>2025</v>
      </c>
      <c r="C3" s="11" t="n">
        <v>10</v>
      </c>
      <c r="D3" s="10" t="s">
        <v>83</v>
      </c>
      <c r="E3" s="11" t="n">
        <v>302</v>
      </c>
      <c r="F3" s="11"/>
    </row>
    <row r="4" customFormat="false" ht="15" hidden="false" customHeight="false" outlineLevel="0" collapsed="false">
      <c r="A4" s="10" t="s">
        <v>69</v>
      </c>
      <c r="B4" s="11" t="n">
        <v>2025</v>
      </c>
      <c r="C4" s="11" t="n">
        <v>11</v>
      </c>
      <c r="D4" s="10" t="s">
        <v>83</v>
      </c>
      <c r="E4" s="11" t="n">
        <v>336</v>
      </c>
      <c r="F4" s="11" t="n">
        <v>34</v>
      </c>
    </row>
    <row r="5" customFormat="false" ht="15" hidden="false" customHeight="false" outlineLevel="0" collapsed="false">
      <c r="A5" s="10" t="s">
        <v>69</v>
      </c>
      <c r="B5" s="11" t="n">
        <v>2025</v>
      </c>
      <c r="C5" s="11" t="n">
        <v>12</v>
      </c>
      <c r="D5" s="10" t="s">
        <v>83</v>
      </c>
      <c r="E5" s="11" t="n">
        <v>359</v>
      </c>
      <c r="F5" s="11" t="n">
        <v>23</v>
      </c>
    </row>
    <row r="6" customFormat="false" ht="15" hidden="false" customHeight="false" outlineLevel="0" collapsed="false">
      <c r="A6" s="10" t="s">
        <v>69</v>
      </c>
      <c r="B6" s="11" t="n">
        <v>2025</v>
      </c>
      <c r="C6" s="11" t="n">
        <v>1</v>
      </c>
      <c r="D6" s="10" t="s">
        <v>45</v>
      </c>
      <c r="E6" s="11" t="n">
        <v>920</v>
      </c>
      <c r="F6" s="11" t="n">
        <v>920</v>
      </c>
    </row>
    <row r="7" customFormat="false" ht="15" hidden="false" customHeight="false" outlineLevel="0" collapsed="false">
      <c r="A7" s="10" t="s">
        <v>69</v>
      </c>
      <c r="B7" s="11" t="n">
        <v>2025</v>
      </c>
      <c r="C7" s="11" t="n">
        <v>2</v>
      </c>
      <c r="D7" s="10" t="s">
        <v>45</v>
      </c>
      <c r="E7" s="11" t="n">
        <v>1681</v>
      </c>
      <c r="F7" s="11" t="n">
        <v>761</v>
      </c>
    </row>
    <row r="8" customFormat="false" ht="15" hidden="false" customHeight="false" outlineLevel="0" collapsed="false">
      <c r="A8" s="10" t="s">
        <v>69</v>
      </c>
      <c r="B8" s="11" t="n">
        <v>2025</v>
      </c>
      <c r="C8" s="11" t="n">
        <v>3</v>
      </c>
      <c r="D8" s="10" t="s">
        <v>45</v>
      </c>
      <c r="E8" s="11" t="n">
        <v>2500</v>
      </c>
      <c r="F8" s="11" t="n">
        <v>819</v>
      </c>
    </row>
    <row r="9" customFormat="false" ht="15" hidden="false" customHeight="false" outlineLevel="0" collapsed="false">
      <c r="A9" s="10" t="s">
        <v>69</v>
      </c>
      <c r="B9" s="11" t="n">
        <v>2025</v>
      </c>
      <c r="C9" s="11" t="n">
        <v>4</v>
      </c>
      <c r="D9" s="10" t="s">
        <v>45</v>
      </c>
      <c r="E9" s="11" t="n">
        <v>3271</v>
      </c>
      <c r="F9" s="11" t="n">
        <v>771</v>
      </c>
    </row>
    <row r="10" customFormat="false" ht="15" hidden="false" customHeight="false" outlineLevel="0" collapsed="false">
      <c r="A10" s="10" t="s">
        <v>69</v>
      </c>
      <c r="B10" s="11" t="n">
        <v>2025</v>
      </c>
      <c r="C10" s="11" t="n">
        <v>5</v>
      </c>
      <c r="D10" s="10" t="s">
        <v>45</v>
      </c>
      <c r="E10" s="11" t="n">
        <v>4190</v>
      </c>
      <c r="F10" s="11" t="n">
        <v>919</v>
      </c>
    </row>
    <row r="11" customFormat="false" ht="15" hidden="false" customHeight="false" outlineLevel="0" collapsed="false">
      <c r="A11" s="10" t="s">
        <v>69</v>
      </c>
      <c r="B11" s="11" t="n">
        <v>2025</v>
      </c>
      <c r="C11" s="11" t="n">
        <v>6</v>
      </c>
      <c r="D11" s="10" t="s">
        <v>45</v>
      </c>
      <c r="E11" s="11" t="n">
        <v>5136</v>
      </c>
      <c r="F11" s="11" t="n">
        <v>946</v>
      </c>
    </row>
    <row r="12" customFormat="false" ht="15" hidden="false" customHeight="false" outlineLevel="0" collapsed="false">
      <c r="A12" s="10" t="s">
        <v>69</v>
      </c>
      <c r="B12" s="11" t="n">
        <v>2025</v>
      </c>
      <c r="C12" s="11" t="n">
        <v>7</v>
      </c>
      <c r="D12" s="10" t="s">
        <v>45</v>
      </c>
      <c r="E12" s="11" t="n">
        <v>6070</v>
      </c>
      <c r="F12" s="11" t="n">
        <v>934</v>
      </c>
    </row>
    <row r="13" customFormat="false" ht="15" hidden="false" customHeight="false" outlineLevel="0" collapsed="false">
      <c r="A13" s="10" t="s">
        <v>69</v>
      </c>
      <c r="B13" s="11" t="n">
        <v>2025</v>
      </c>
      <c r="C13" s="11" t="n">
        <v>8</v>
      </c>
      <c r="D13" s="10" t="s">
        <v>45</v>
      </c>
      <c r="E13" s="11" t="n">
        <v>7058</v>
      </c>
      <c r="F13" s="11" t="n">
        <v>988</v>
      </c>
    </row>
    <row r="14" customFormat="false" ht="15" hidden="false" customHeight="false" outlineLevel="0" collapsed="false">
      <c r="A14" s="10" t="s">
        <v>69</v>
      </c>
      <c r="B14" s="11" t="n">
        <v>2025</v>
      </c>
      <c r="C14" s="11" t="n">
        <v>9</v>
      </c>
      <c r="D14" s="10" t="s">
        <v>45</v>
      </c>
      <c r="E14" s="11" t="n">
        <v>8087</v>
      </c>
      <c r="F14" s="11" t="n">
        <v>1029</v>
      </c>
    </row>
    <row r="15" customFormat="false" ht="15" hidden="false" customHeight="false" outlineLevel="0" collapsed="false">
      <c r="A15" s="10" t="s">
        <v>69</v>
      </c>
      <c r="B15" s="11" t="n">
        <v>2025</v>
      </c>
      <c r="C15" s="11" t="n">
        <v>10</v>
      </c>
      <c r="D15" s="10" t="s">
        <v>45</v>
      </c>
      <c r="E15" s="11" t="n">
        <v>9316</v>
      </c>
      <c r="F15" s="11" t="n">
        <v>1229</v>
      </c>
    </row>
    <row r="16" customFormat="false" ht="15" hidden="false" customHeight="false" outlineLevel="0" collapsed="false">
      <c r="A16" s="10" t="s">
        <v>69</v>
      </c>
      <c r="B16" s="11" t="n">
        <v>2025</v>
      </c>
      <c r="C16" s="11" t="n">
        <v>11</v>
      </c>
      <c r="D16" s="10" t="s">
        <v>45</v>
      </c>
      <c r="E16" s="11" t="n">
        <v>10572</v>
      </c>
      <c r="F16" s="11" t="n">
        <v>1256</v>
      </c>
    </row>
    <row r="17" customFormat="false" ht="15" hidden="false" customHeight="false" outlineLevel="0" collapsed="false">
      <c r="A17" s="10" t="s">
        <v>69</v>
      </c>
      <c r="B17" s="11" t="n">
        <v>2025</v>
      </c>
      <c r="C17" s="11" t="n">
        <v>12</v>
      </c>
      <c r="D17" s="10" t="s">
        <v>45</v>
      </c>
      <c r="E17" s="11" t="n">
        <v>11805</v>
      </c>
      <c r="F17" s="11" t="n">
        <v>1233</v>
      </c>
    </row>
    <row r="18" customFormat="false" ht="15" hidden="false" customHeight="false" outlineLevel="0" collapsed="false">
      <c r="A18" s="10" t="s">
        <v>69</v>
      </c>
      <c r="B18" s="11" t="n">
        <v>2026</v>
      </c>
      <c r="C18" s="11" t="n">
        <v>1</v>
      </c>
      <c r="D18" s="10" t="s">
        <v>45</v>
      </c>
      <c r="E18" s="11" t="n">
        <v>1309</v>
      </c>
      <c r="F18" s="11" t="n">
        <v>1309</v>
      </c>
    </row>
    <row r="19" customFormat="false" ht="15" hidden="false" customHeight="false" outlineLevel="0" collapsed="false">
      <c r="A19" s="10" t="s">
        <v>69</v>
      </c>
      <c r="B19" s="11" t="n">
        <v>2026</v>
      </c>
      <c r="C19" s="11" t="n">
        <v>2</v>
      </c>
      <c r="D19" s="10" t="s">
        <v>45</v>
      </c>
      <c r="E19" s="11" t="n">
        <v>2765</v>
      </c>
      <c r="F19" s="11" t="n">
        <v>1456</v>
      </c>
    </row>
    <row r="20" customFormat="false" ht="15" hidden="false" customHeight="false" outlineLevel="0" collapsed="false">
      <c r="A20" s="10" t="s">
        <v>69</v>
      </c>
      <c r="B20" s="11" t="n">
        <v>2026</v>
      </c>
      <c r="C20" s="11" t="n">
        <v>3</v>
      </c>
      <c r="D20" s="10" t="s">
        <v>45</v>
      </c>
      <c r="E20" s="11" t="n">
        <v>4096</v>
      </c>
      <c r="F20" s="11" t="n">
        <v>1331</v>
      </c>
    </row>
    <row r="21" customFormat="false" ht="15" hidden="false" customHeight="false" outlineLevel="0" collapsed="false">
      <c r="A21" s="10" t="s">
        <v>69</v>
      </c>
      <c r="B21" s="11" t="n">
        <v>2025</v>
      </c>
      <c r="C21" s="11" t="n">
        <v>1</v>
      </c>
      <c r="D21" s="10" t="s">
        <v>50</v>
      </c>
      <c r="E21" s="11" t="n">
        <v>388</v>
      </c>
      <c r="F21" s="11" t="n">
        <v>388</v>
      </c>
    </row>
    <row r="22" customFormat="false" ht="15" hidden="false" customHeight="false" outlineLevel="0" collapsed="false">
      <c r="A22" s="10" t="s">
        <v>69</v>
      </c>
      <c r="B22" s="11" t="n">
        <v>2025</v>
      </c>
      <c r="C22" s="11" t="n">
        <v>2</v>
      </c>
      <c r="D22" s="10" t="s">
        <v>50</v>
      </c>
      <c r="E22" s="11" t="n">
        <v>125</v>
      </c>
      <c r="F22" s="11"/>
    </row>
    <row r="23" customFormat="false" ht="15" hidden="false" customHeight="false" outlineLevel="0" collapsed="false">
      <c r="A23" s="10" t="s">
        <v>69</v>
      </c>
      <c r="B23" s="11" t="n">
        <v>2025</v>
      </c>
      <c r="C23" s="11" t="n">
        <v>3</v>
      </c>
      <c r="D23" s="10" t="s">
        <v>50</v>
      </c>
      <c r="E23" s="11" t="n">
        <v>1039</v>
      </c>
      <c r="F23" s="11" t="n">
        <v>914</v>
      </c>
    </row>
    <row r="24" customFormat="false" ht="15" hidden="false" customHeight="false" outlineLevel="0" collapsed="false">
      <c r="A24" s="10" t="s">
        <v>69</v>
      </c>
      <c r="B24" s="11" t="n">
        <v>2025</v>
      </c>
      <c r="C24" s="11" t="n">
        <v>4</v>
      </c>
      <c r="D24" s="10" t="s">
        <v>50</v>
      </c>
      <c r="E24" s="11" t="n">
        <v>1386</v>
      </c>
      <c r="F24" s="11" t="n">
        <v>347</v>
      </c>
    </row>
    <row r="25" customFormat="false" ht="15" hidden="false" customHeight="false" outlineLevel="0" collapsed="false">
      <c r="A25" s="10" t="s">
        <v>69</v>
      </c>
      <c r="B25" s="11" t="n">
        <v>2025</v>
      </c>
      <c r="C25" s="11" t="n">
        <v>5</v>
      </c>
      <c r="D25" s="10" t="s">
        <v>50</v>
      </c>
      <c r="E25" s="11" t="n">
        <v>1746</v>
      </c>
      <c r="F25" s="11" t="n">
        <v>360</v>
      </c>
    </row>
    <row r="26" customFormat="false" ht="15" hidden="false" customHeight="false" outlineLevel="0" collapsed="false">
      <c r="A26" s="10" t="s">
        <v>69</v>
      </c>
      <c r="B26" s="11" t="n">
        <v>2025</v>
      </c>
      <c r="C26" s="11" t="n">
        <v>6</v>
      </c>
      <c r="D26" s="10" t="s">
        <v>50</v>
      </c>
      <c r="E26" s="11" t="n">
        <v>2134</v>
      </c>
      <c r="F26" s="11" t="n">
        <v>388</v>
      </c>
    </row>
    <row r="27" customFormat="false" ht="15" hidden="false" customHeight="false" outlineLevel="0" collapsed="false">
      <c r="A27" s="10" t="s">
        <v>69</v>
      </c>
      <c r="B27" s="11" t="n">
        <v>2025</v>
      </c>
      <c r="C27" s="11" t="n">
        <v>7</v>
      </c>
      <c r="D27" s="10" t="s">
        <v>50</v>
      </c>
      <c r="E27" s="11" t="n">
        <v>2500</v>
      </c>
      <c r="F27" s="11" t="n">
        <v>366</v>
      </c>
    </row>
    <row r="28" customFormat="false" ht="15" hidden="false" customHeight="false" outlineLevel="0" collapsed="false">
      <c r="A28" s="10" t="s">
        <v>69</v>
      </c>
      <c r="B28" s="11" t="n">
        <v>2025</v>
      </c>
      <c r="C28" s="11" t="n">
        <v>8</v>
      </c>
      <c r="D28" s="10" t="s">
        <v>50</v>
      </c>
      <c r="E28" s="11" t="n">
        <v>2928</v>
      </c>
      <c r="F28" s="11" t="n">
        <v>428</v>
      </c>
    </row>
    <row r="29" customFormat="false" ht="15" hidden="false" customHeight="false" outlineLevel="0" collapsed="false">
      <c r="A29" s="10" t="s">
        <v>69</v>
      </c>
      <c r="B29" s="11" t="n">
        <v>2025</v>
      </c>
      <c r="C29" s="11" t="n">
        <v>9</v>
      </c>
      <c r="D29" s="10" t="s">
        <v>50</v>
      </c>
      <c r="E29" s="11" t="n">
        <v>3318</v>
      </c>
      <c r="F29" s="11" t="n">
        <v>390</v>
      </c>
    </row>
    <row r="30" customFormat="false" ht="15" hidden="false" customHeight="false" outlineLevel="0" collapsed="false">
      <c r="A30" s="10" t="s">
        <v>69</v>
      </c>
      <c r="B30" s="11" t="n">
        <v>2025</v>
      </c>
      <c r="C30" s="11" t="n">
        <v>10</v>
      </c>
      <c r="D30" s="10" t="s">
        <v>50</v>
      </c>
      <c r="E30" s="11" t="n">
        <v>3820</v>
      </c>
      <c r="F30" s="11" t="n">
        <v>502</v>
      </c>
    </row>
    <row r="31" customFormat="false" ht="15" hidden="false" customHeight="false" outlineLevel="0" collapsed="false">
      <c r="A31" s="10" t="s">
        <v>69</v>
      </c>
      <c r="B31" s="11" t="n">
        <v>2025</v>
      </c>
      <c r="C31" s="11" t="n">
        <v>11</v>
      </c>
      <c r="D31" s="10" t="s">
        <v>50</v>
      </c>
      <c r="E31" s="11" t="n">
        <v>4308</v>
      </c>
      <c r="F31" s="11" t="n">
        <v>488</v>
      </c>
    </row>
    <row r="32" customFormat="false" ht="15" hidden="false" customHeight="false" outlineLevel="0" collapsed="false">
      <c r="A32" s="10" t="s">
        <v>69</v>
      </c>
      <c r="B32" s="11" t="n">
        <v>2025</v>
      </c>
      <c r="C32" s="11" t="n">
        <v>12</v>
      </c>
      <c r="D32" s="10" t="s">
        <v>50</v>
      </c>
      <c r="E32" s="11" t="n">
        <v>4823</v>
      </c>
      <c r="F32" s="11" t="n">
        <v>515</v>
      </c>
    </row>
    <row r="33" customFormat="false" ht="15" hidden="false" customHeight="false" outlineLevel="0" collapsed="false">
      <c r="A33" s="10" t="s">
        <v>69</v>
      </c>
      <c r="B33" s="11" t="n">
        <v>2026</v>
      </c>
      <c r="C33" s="11" t="n">
        <v>1</v>
      </c>
      <c r="D33" s="10" t="s">
        <v>50</v>
      </c>
      <c r="E33" s="11" t="n">
        <v>617</v>
      </c>
      <c r="F33" s="11" t="n">
        <v>617</v>
      </c>
    </row>
    <row r="34" customFormat="false" ht="15" hidden="false" customHeight="false" outlineLevel="0" collapsed="false">
      <c r="A34" s="10" t="s">
        <v>69</v>
      </c>
      <c r="B34" s="11" t="n">
        <v>2026</v>
      </c>
      <c r="C34" s="11" t="n">
        <v>2</v>
      </c>
      <c r="D34" s="10" t="s">
        <v>50</v>
      </c>
      <c r="E34" s="11" t="n">
        <v>1087</v>
      </c>
      <c r="F34" s="11" t="n">
        <v>470</v>
      </c>
    </row>
    <row r="35" customFormat="false" ht="15" hidden="false" customHeight="false" outlineLevel="0" collapsed="false">
      <c r="A35" s="10" t="s">
        <v>69</v>
      </c>
      <c r="B35" s="11" t="n">
        <v>2026</v>
      </c>
      <c r="C35" s="11" t="n">
        <v>3</v>
      </c>
      <c r="D35" s="10" t="s">
        <v>50</v>
      </c>
      <c r="E35" s="11" t="n">
        <v>1855</v>
      </c>
      <c r="F35" s="11" t="n">
        <v>768</v>
      </c>
    </row>
    <row r="36" customFormat="false" ht="15" hidden="false" customHeight="false" outlineLevel="0" collapsed="false">
      <c r="A36" s="10" t="s">
        <v>69</v>
      </c>
      <c r="B36" s="11" t="n">
        <v>2025</v>
      </c>
      <c r="C36" s="11" t="n">
        <v>1</v>
      </c>
      <c r="D36" s="10" t="s">
        <v>42</v>
      </c>
      <c r="E36" s="11" t="n">
        <v>791</v>
      </c>
      <c r="F36" s="11" t="n">
        <v>791</v>
      </c>
    </row>
    <row r="37" customFormat="false" ht="15" hidden="false" customHeight="false" outlineLevel="0" collapsed="false">
      <c r="A37" s="10" t="s">
        <v>69</v>
      </c>
      <c r="B37" s="11" t="n">
        <v>2025</v>
      </c>
      <c r="C37" s="11" t="n">
        <v>2</v>
      </c>
      <c r="D37" s="10" t="s">
        <v>42</v>
      </c>
      <c r="E37" s="11" t="n">
        <v>1573</v>
      </c>
      <c r="F37" s="11" t="n">
        <v>782</v>
      </c>
    </row>
    <row r="38" customFormat="false" ht="15" hidden="false" customHeight="false" outlineLevel="0" collapsed="false">
      <c r="A38" s="10" t="s">
        <v>69</v>
      </c>
      <c r="B38" s="11" t="n">
        <v>2025</v>
      </c>
      <c r="C38" s="11" t="n">
        <v>3</v>
      </c>
      <c r="D38" s="10" t="s">
        <v>42</v>
      </c>
      <c r="E38" s="11" t="n">
        <v>2392</v>
      </c>
      <c r="F38" s="11" t="n">
        <v>819</v>
      </c>
    </row>
    <row r="39" customFormat="false" ht="15" hidden="false" customHeight="false" outlineLevel="0" collapsed="false">
      <c r="A39" s="10" t="s">
        <v>69</v>
      </c>
      <c r="B39" s="11" t="n">
        <v>2025</v>
      </c>
      <c r="C39" s="11" t="n">
        <v>4</v>
      </c>
      <c r="D39" s="10" t="s">
        <v>42</v>
      </c>
      <c r="E39" s="11" t="n">
        <v>3145</v>
      </c>
      <c r="F39" s="11" t="n">
        <v>753</v>
      </c>
    </row>
    <row r="40" customFormat="false" ht="15" hidden="false" customHeight="false" outlineLevel="0" collapsed="false">
      <c r="A40" s="10" t="s">
        <v>69</v>
      </c>
      <c r="B40" s="11" t="n">
        <v>2025</v>
      </c>
      <c r="C40" s="11" t="n">
        <v>5</v>
      </c>
      <c r="D40" s="10" t="s">
        <v>42</v>
      </c>
      <c r="E40" s="11" t="n">
        <v>3710</v>
      </c>
      <c r="F40" s="11" t="n">
        <v>565</v>
      </c>
    </row>
    <row r="41" customFormat="false" ht="15" hidden="false" customHeight="false" outlineLevel="0" collapsed="false">
      <c r="A41" s="10" t="s">
        <v>69</v>
      </c>
      <c r="B41" s="11" t="n">
        <v>2025</v>
      </c>
      <c r="C41" s="11" t="n">
        <v>6</v>
      </c>
      <c r="D41" s="10" t="s">
        <v>42</v>
      </c>
      <c r="E41" s="11" t="n">
        <v>4312</v>
      </c>
      <c r="F41" s="11" t="n">
        <v>602</v>
      </c>
    </row>
    <row r="42" customFormat="false" ht="15" hidden="false" customHeight="false" outlineLevel="0" collapsed="false">
      <c r="A42" s="10" t="s">
        <v>69</v>
      </c>
      <c r="B42" s="11" t="n">
        <v>2025</v>
      </c>
      <c r="C42" s="11" t="n">
        <v>7</v>
      </c>
      <c r="D42" s="10" t="s">
        <v>42</v>
      </c>
      <c r="E42" s="11" t="n">
        <v>4951</v>
      </c>
      <c r="F42" s="11" t="n">
        <v>639</v>
      </c>
    </row>
    <row r="43" customFormat="false" ht="15" hidden="false" customHeight="false" outlineLevel="0" collapsed="false">
      <c r="A43" s="10" t="s">
        <v>69</v>
      </c>
      <c r="B43" s="11" t="n">
        <v>2025</v>
      </c>
      <c r="C43" s="11" t="n">
        <v>8</v>
      </c>
      <c r="D43" s="10" t="s">
        <v>42</v>
      </c>
      <c r="E43" s="11" t="n">
        <v>3300</v>
      </c>
      <c r="F43" s="11"/>
    </row>
    <row r="44" customFormat="false" ht="15" hidden="false" customHeight="false" outlineLevel="0" collapsed="false">
      <c r="A44" s="10" t="s">
        <v>69</v>
      </c>
      <c r="B44" s="11" t="n">
        <v>2025</v>
      </c>
      <c r="C44" s="11" t="n">
        <v>9</v>
      </c>
      <c r="D44" s="10" t="s">
        <v>42</v>
      </c>
      <c r="E44" s="11" t="n">
        <v>3749</v>
      </c>
      <c r="F44" s="11" t="n">
        <v>449</v>
      </c>
    </row>
    <row r="45" customFormat="false" ht="15" hidden="false" customHeight="false" outlineLevel="0" collapsed="false">
      <c r="A45" s="10" t="s">
        <v>69</v>
      </c>
      <c r="B45" s="11" t="n">
        <v>2025</v>
      </c>
      <c r="C45" s="11" t="n">
        <v>10</v>
      </c>
      <c r="D45" s="10" t="s">
        <v>42</v>
      </c>
      <c r="E45" s="11" t="n">
        <v>7050</v>
      </c>
      <c r="F45" s="11" t="n">
        <v>3301</v>
      </c>
    </row>
    <row r="46" customFormat="false" ht="15" hidden="false" customHeight="false" outlineLevel="0" collapsed="false">
      <c r="A46" s="10" t="s">
        <v>69</v>
      </c>
      <c r="B46" s="11" t="n">
        <v>2025</v>
      </c>
      <c r="C46" s="11" t="n">
        <v>11</v>
      </c>
      <c r="D46" s="10" t="s">
        <v>42</v>
      </c>
      <c r="E46" s="11" t="n">
        <v>7940</v>
      </c>
      <c r="F46" s="11" t="n">
        <v>890</v>
      </c>
    </row>
    <row r="47" customFormat="false" ht="15" hidden="false" customHeight="false" outlineLevel="0" collapsed="false">
      <c r="A47" s="10" t="s">
        <v>69</v>
      </c>
      <c r="B47" s="11" t="n">
        <v>2025</v>
      </c>
      <c r="C47" s="11" t="n">
        <v>12</v>
      </c>
      <c r="D47" s="10" t="s">
        <v>42</v>
      </c>
      <c r="E47" s="11" t="n">
        <v>8767</v>
      </c>
      <c r="F47" s="11" t="n">
        <v>827</v>
      </c>
    </row>
    <row r="48" customFormat="false" ht="15" hidden="false" customHeight="false" outlineLevel="0" collapsed="false">
      <c r="A48" s="10" t="s">
        <v>69</v>
      </c>
      <c r="B48" s="11" t="n">
        <v>2026</v>
      </c>
      <c r="C48" s="11" t="n">
        <v>1</v>
      </c>
      <c r="D48" s="10" t="s">
        <v>42</v>
      </c>
      <c r="E48" s="11" t="n">
        <v>407</v>
      </c>
      <c r="F48" s="11" t="n">
        <v>407</v>
      </c>
    </row>
    <row r="49" customFormat="false" ht="15" hidden="false" customHeight="false" outlineLevel="0" collapsed="false">
      <c r="A49" s="10" t="s">
        <v>69</v>
      </c>
      <c r="B49" s="11" t="n">
        <v>2026</v>
      </c>
      <c r="C49" s="11" t="n">
        <v>2</v>
      </c>
      <c r="D49" s="10" t="s">
        <v>42</v>
      </c>
      <c r="E49" s="11" t="n">
        <v>887</v>
      </c>
      <c r="F49" s="11" t="n">
        <v>480</v>
      </c>
    </row>
    <row r="50" customFormat="false" ht="15" hidden="false" customHeight="false" outlineLevel="0" collapsed="false">
      <c r="A50" s="10" t="s">
        <v>69</v>
      </c>
      <c r="B50" s="11" t="n">
        <v>2026</v>
      </c>
      <c r="C50" s="11" t="n">
        <v>3</v>
      </c>
      <c r="D50" s="10" t="s">
        <v>42</v>
      </c>
      <c r="E50" s="11" t="n">
        <v>1581</v>
      </c>
      <c r="F50" s="11" t="n">
        <v>694</v>
      </c>
    </row>
    <row r="51" customFormat="false" ht="15" hidden="false" customHeight="false" outlineLevel="0" collapsed="false">
      <c r="A51" s="10" t="s">
        <v>69</v>
      </c>
      <c r="B51" s="11" t="n">
        <v>2025</v>
      </c>
      <c r="C51" s="11" t="n">
        <v>1</v>
      </c>
      <c r="D51" s="10" t="s">
        <v>95</v>
      </c>
      <c r="E51" s="11" t="n">
        <v>599</v>
      </c>
      <c r="F51" s="11" t="n">
        <v>599</v>
      </c>
    </row>
    <row r="52" customFormat="false" ht="15" hidden="false" customHeight="false" outlineLevel="0" collapsed="false">
      <c r="A52" s="10" t="s">
        <v>69</v>
      </c>
      <c r="B52" s="11" t="n">
        <v>2025</v>
      </c>
      <c r="C52" s="11" t="n">
        <v>2</v>
      </c>
      <c r="D52" s="10" t="s">
        <v>95</v>
      </c>
      <c r="E52" s="11" t="n">
        <v>1136</v>
      </c>
      <c r="F52" s="11" t="n">
        <v>537</v>
      </c>
    </row>
    <row r="53" customFormat="false" ht="15" hidden="false" customHeight="false" outlineLevel="0" collapsed="false">
      <c r="A53" s="10" t="s">
        <v>69</v>
      </c>
      <c r="B53" s="11" t="n">
        <v>2025</v>
      </c>
      <c r="C53" s="11" t="n">
        <v>3</v>
      </c>
      <c r="D53" s="10" t="s">
        <v>95</v>
      </c>
      <c r="E53" s="11" t="n">
        <v>1747</v>
      </c>
      <c r="F53" s="11" t="n">
        <v>611</v>
      </c>
    </row>
    <row r="54" customFormat="false" ht="15" hidden="false" customHeight="false" outlineLevel="0" collapsed="false">
      <c r="A54" s="10" t="s">
        <v>69</v>
      </c>
      <c r="B54" s="11" t="n">
        <v>2025</v>
      </c>
      <c r="C54" s="11" t="n">
        <v>4</v>
      </c>
      <c r="D54" s="10" t="s">
        <v>95</v>
      </c>
      <c r="E54" s="11" t="n">
        <v>2300</v>
      </c>
      <c r="F54" s="11" t="n">
        <v>553</v>
      </c>
    </row>
    <row r="55" customFormat="false" ht="15" hidden="false" customHeight="false" outlineLevel="0" collapsed="false">
      <c r="A55" s="10" t="s">
        <v>69</v>
      </c>
      <c r="B55" s="11" t="n">
        <v>2025</v>
      </c>
      <c r="C55" s="11" t="n">
        <v>5</v>
      </c>
      <c r="D55" s="10" t="s">
        <v>95</v>
      </c>
      <c r="E55" s="11" t="n">
        <v>2978</v>
      </c>
      <c r="F55" s="11" t="n">
        <v>678</v>
      </c>
    </row>
    <row r="56" customFormat="false" ht="15" hidden="false" customHeight="false" outlineLevel="0" collapsed="false">
      <c r="A56" s="10" t="s">
        <v>69</v>
      </c>
      <c r="B56" s="11" t="n">
        <v>2025</v>
      </c>
      <c r="C56" s="11" t="n">
        <v>6</v>
      </c>
      <c r="D56" s="10" t="s">
        <v>95</v>
      </c>
      <c r="E56" s="11" t="n">
        <v>3547</v>
      </c>
      <c r="F56" s="11" t="n">
        <v>569</v>
      </c>
    </row>
    <row r="57" customFormat="false" ht="15" hidden="false" customHeight="false" outlineLevel="0" collapsed="false">
      <c r="A57" s="10" t="s">
        <v>69</v>
      </c>
      <c r="B57" s="11" t="n">
        <v>2025</v>
      </c>
      <c r="C57" s="11" t="n">
        <v>7</v>
      </c>
      <c r="D57" s="10" t="s">
        <v>95</v>
      </c>
      <c r="E57" s="11" t="n">
        <v>4054</v>
      </c>
      <c r="F57" s="11" t="n">
        <v>507</v>
      </c>
    </row>
    <row r="58" customFormat="false" ht="15" hidden="false" customHeight="false" outlineLevel="0" collapsed="false">
      <c r="A58" s="10" t="s">
        <v>69</v>
      </c>
      <c r="B58" s="11" t="n">
        <v>2025</v>
      </c>
      <c r="C58" s="11" t="n">
        <v>8</v>
      </c>
      <c r="D58" s="10" t="s">
        <v>95</v>
      </c>
      <c r="E58" s="11" t="n">
        <v>4656</v>
      </c>
      <c r="F58" s="11" t="n">
        <v>602</v>
      </c>
    </row>
    <row r="59" customFormat="false" ht="15" hidden="false" customHeight="false" outlineLevel="0" collapsed="false">
      <c r="A59" s="10" t="s">
        <v>69</v>
      </c>
      <c r="B59" s="11" t="n">
        <v>2025</v>
      </c>
      <c r="C59" s="11" t="n">
        <v>9</v>
      </c>
      <c r="D59" s="10" t="s">
        <v>95</v>
      </c>
      <c r="E59" s="11" t="n">
        <v>5266</v>
      </c>
      <c r="F59" s="11" t="n">
        <v>610</v>
      </c>
    </row>
    <row r="60" customFormat="false" ht="15" hidden="false" customHeight="false" outlineLevel="0" collapsed="false">
      <c r="A60" s="10" t="s">
        <v>69</v>
      </c>
      <c r="B60" s="11" t="n">
        <v>2025</v>
      </c>
      <c r="C60" s="11" t="n">
        <v>10</v>
      </c>
      <c r="D60" s="10" t="s">
        <v>95</v>
      </c>
      <c r="E60" s="11" t="n">
        <v>5826</v>
      </c>
      <c r="F60" s="11" t="n">
        <v>560</v>
      </c>
    </row>
    <row r="61" customFormat="false" ht="15" hidden="false" customHeight="false" outlineLevel="0" collapsed="false">
      <c r="A61" s="10" t="s">
        <v>69</v>
      </c>
      <c r="B61" s="11" t="n">
        <v>2025</v>
      </c>
      <c r="C61" s="11" t="n">
        <v>11</v>
      </c>
      <c r="D61" s="10" t="s">
        <v>95</v>
      </c>
      <c r="E61" s="11" t="n">
        <v>6499</v>
      </c>
      <c r="F61" s="11" t="n">
        <v>673</v>
      </c>
    </row>
    <row r="62" customFormat="false" ht="15" hidden="false" customHeight="false" outlineLevel="0" collapsed="false">
      <c r="A62" s="10" t="s">
        <v>69</v>
      </c>
      <c r="B62" s="11" t="n">
        <v>2025</v>
      </c>
      <c r="C62" s="11" t="n">
        <v>12</v>
      </c>
      <c r="D62" s="10" t="s">
        <v>95</v>
      </c>
      <c r="E62" s="11" t="n">
        <v>7168</v>
      </c>
      <c r="F62" s="11" t="n">
        <v>669</v>
      </c>
    </row>
    <row r="63" customFormat="false" ht="15" hidden="false" customHeight="false" outlineLevel="0" collapsed="false">
      <c r="A63" s="10" t="s">
        <v>69</v>
      </c>
      <c r="B63" s="11" t="n">
        <v>2026</v>
      </c>
      <c r="C63" s="11" t="n">
        <v>3</v>
      </c>
      <c r="D63" s="10" t="s">
        <v>95</v>
      </c>
      <c r="E63" s="11" t="n">
        <v>1898</v>
      </c>
      <c r="F63" s="11"/>
    </row>
    <row r="64" customFormat="false" ht="15" hidden="false" customHeight="false" outlineLevel="0" collapsed="false">
      <c r="A64" s="10" t="s">
        <v>69</v>
      </c>
      <c r="B64" s="11" t="n">
        <v>2026</v>
      </c>
      <c r="C64" s="11" t="n">
        <v>1</v>
      </c>
      <c r="D64" s="10" t="s">
        <v>67</v>
      </c>
      <c r="E64" s="11" t="n">
        <v>690</v>
      </c>
      <c r="F64" s="11" t="n">
        <v>690</v>
      </c>
    </row>
    <row r="65" customFormat="false" ht="15" hidden="false" customHeight="false" outlineLevel="0" collapsed="false">
      <c r="A65" s="10" t="s">
        <v>69</v>
      </c>
      <c r="B65" s="11" t="n">
        <v>2026</v>
      </c>
      <c r="C65" s="11" t="n">
        <v>2</v>
      </c>
      <c r="D65" s="10" t="s">
        <v>67</v>
      </c>
      <c r="E65" s="11" t="n">
        <v>1507</v>
      </c>
      <c r="F65" s="11" t="n">
        <v>817</v>
      </c>
    </row>
    <row r="66" customFormat="false" ht="15" hidden="false" customHeight="false" outlineLevel="0" collapsed="false">
      <c r="A66" s="10" t="s">
        <v>69</v>
      </c>
      <c r="B66" s="11" t="n">
        <v>2025</v>
      </c>
      <c r="C66" s="11" t="n">
        <v>1</v>
      </c>
      <c r="D66" s="10" t="s">
        <v>44</v>
      </c>
      <c r="E66" s="11" t="n">
        <v>317</v>
      </c>
      <c r="F66" s="11" t="n">
        <v>317</v>
      </c>
    </row>
    <row r="67" customFormat="false" ht="15" hidden="false" customHeight="false" outlineLevel="0" collapsed="false">
      <c r="A67" s="10" t="s">
        <v>69</v>
      </c>
      <c r="B67" s="11" t="n">
        <v>2025</v>
      </c>
      <c r="C67" s="11" t="n">
        <v>2</v>
      </c>
      <c r="D67" s="10" t="s">
        <v>44</v>
      </c>
      <c r="E67" s="11" t="n">
        <v>1091</v>
      </c>
      <c r="F67" s="11" t="n">
        <v>774</v>
      </c>
    </row>
    <row r="68" customFormat="false" ht="15" hidden="false" customHeight="false" outlineLevel="0" collapsed="false">
      <c r="A68" s="10" t="s">
        <v>69</v>
      </c>
      <c r="B68" s="11" t="n">
        <v>2025</v>
      </c>
      <c r="C68" s="11" t="n">
        <v>3</v>
      </c>
      <c r="D68" s="10" t="s">
        <v>44</v>
      </c>
      <c r="E68" s="11" t="n">
        <v>1706</v>
      </c>
      <c r="F68" s="11" t="n">
        <v>615</v>
      </c>
    </row>
    <row r="69" customFormat="false" ht="15" hidden="false" customHeight="false" outlineLevel="0" collapsed="false">
      <c r="A69" s="10" t="s">
        <v>69</v>
      </c>
      <c r="B69" s="11" t="n">
        <v>2025</v>
      </c>
      <c r="C69" s="11" t="n">
        <v>4</v>
      </c>
      <c r="D69" s="10" t="s">
        <v>44</v>
      </c>
      <c r="E69" s="11" t="n">
        <v>2306</v>
      </c>
      <c r="F69" s="11" t="n">
        <v>600</v>
      </c>
    </row>
    <row r="70" customFormat="false" ht="15" hidden="false" customHeight="false" outlineLevel="0" collapsed="false">
      <c r="A70" s="10" t="s">
        <v>69</v>
      </c>
      <c r="B70" s="11" t="n">
        <v>2025</v>
      </c>
      <c r="C70" s="11" t="n">
        <v>5</v>
      </c>
      <c r="D70" s="10" t="s">
        <v>44</v>
      </c>
      <c r="E70" s="11" t="n">
        <v>2853</v>
      </c>
      <c r="F70" s="11" t="n">
        <v>547</v>
      </c>
    </row>
    <row r="71" customFormat="false" ht="15" hidden="false" customHeight="false" outlineLevel="0" collapsed="false">
      <c r="A71" s="10" t="s">
        <v>69</v>
      </c>
      <c r="B71" s="11" t="n">
        <v>2025</v>
      </c>
      <c r="C71" s="11" t="n">
        <v>6</v>
      </c>
      <c r="D71" s="10" t="s">
        <v>44</v>
      </c>
      <c r="E71" s="11" t="n">
        <v>3340</v>
      </c>
      <c r="F71" s="11" t="n">
        <v>487</v>
      </c>
    </row>
    <row r="72" customFormat="false" ht="15" hidden="false" customHeight="false" outlineLevel="0" collapsed="false">
      <c r="A72" s="10" t="s">
        <v>69</v>
      </c>
      <c r="B72" s="11" t="n">
        <v>2025</v>
      </c>
      <c r="C72" s="11" t="n">
        <v>7</v>
      </c>
      <c r="D72" s="10" t="s">
        <v>44</v>
      </c>
      <c r="E72" s="11" t="n">
        <v>3884</v>
      </c>
      <c r="F72" s="11" t="n">
        <v>544</v>
      </c>
    </row>
    <row r="73" customFormat="false" ht="15" hidden="false" customHeight="false" outlineLevel="0" collapsed="false">
      <c r="A73" s="10" t="s">
        <v>69</v>
      </c>
      <c r="B73" s="11" t="n">
        <v>2025</v>
      </c>
      <c r="C73" s="11" t="n">
        <v>8</v>
      </c>
      <c r="D73" s="10" t="s">
        <v>44</v>
      </c>
      <c r="E73" s="11" t="n">
        <v>4480</v>
      </c>
      <c r="F73" s="11" t="n">
        <v>596</v>
      </c>
    </row>
    <row r="74" customFormat="false" ht="15" hidden="false" customHeight="false" outlineLevel="0" collapsed="false">
      <c r="A74" s="10" t="s">
        <v>69</v>
      </c>
      <c r="B74" s="11" t="n">
        <v>2025</v>
      </c>
      <c r="C74" s="11" t="n">
        <v>9</v>
      </c>
      <c r="D74" s="10" t="s">
        <v>44</v>
      </c>
      <c r="E74" s="11" t="n">
        <v>5142</v>
      </c>
      <c r="F74" s="11" t="n">
        <v>662</v>
      </c>
    </row>
    <row r="75" customFormat="false" ht="15" hidden="false" customHeight="false" outlineLevel="0" collapsed="false">
      <c r="A75" s="10" t="s">
        <v>69</v>
      </c>
      <c r="B75" s="11" t="n">
        <v>2025</v>
      </c>
      <c r="C75" s="11" t="n">
        <v>10</v>
      </c>
      <c r="D75" s="10" t="s">
        <v>44</v>
      </c>
      <c r="E75" s="11" t="n">
        <v>5819</v>
      </c>
      <c r="F75" s="11" t="n">
        <v>677</v>
      </c>
    </row>
    <row r="76" customFormat="false" ht="15" hidden="false" customHeight="false" outlineLevel="0" collapsed="false">
      <c r="A76" s="10" t="s">
        <v>69</v>
      </c>
      <c r="B76" s="11" t="n">
        <v>2025</v>
      </c>
      <c r="C76" s="11" t="n">
        <v>11</v>
      </c>
      <c r="D76" s="10" t="s">
        <v>44</v>
      </c>
      <c r="E76" s="11" t="n">
        <v>6543</v>
      </c>
      <c r="F76" s="11" t="n">
        <v>724</v>
      </c>
    </row>
    <row r="77" customFormat="false" ht="15" hidden="false" customHeight="false" outlineLevel="0" collapsed="false">
      <c r="A77" s="10" t="s">
        <v>69</v>
      </c>
      <c r="B77" s="11" t="n">
        <v>2025</v>
      </c>
      <c r="C77" s="11" t="n">
        <v>12</v>
      </c>
      <c r="D77" s="10" t="s">
        <v>44</v>
      </c>
      <c r="E77" s="11" t="n">
        <v>7311</v>
      </c>
      <c r="F77" s="11" t="n">
        <v>768</v>
      </c>
    </row>
    <row r="78" customFormat="false" ht="15" hidden="false" customHeight="false" outlineLevel="0" collapsed="false">
      <c r="A78" s="10" t="s">
        <v>69</v>
      </c>
      <c r="B78" s="11" t="n">
        <v>2026</v>
      </c>
      <c r="C78" s="11" t="n">
        <v>1</v>
      </c>
      <c r="D78" s="10" t="s">
        <v>44</v>
      </c>
      <c r="E78" s="11" t="n">
        <v>955</v>
      </c>
      <c r="F78" s="11" t="n">
        <v>955</v>
      </c>
    </row>
    <row r="79" customFormat="false" ht="15" hidden="false" customHeight="false" outlineLevel="0" collapsed="false">
      <c r="A79" s="10" t="s">
        <v>69</v>
      </c>
      <c r="B79" s="11" t="n">
        <v>2026</v>
      </c>
      <c r="C79" s="11" t="n">
        <v>2</v>
      </c>
      <c r="D79" s="10" t="s">
        <v>44</v>
      </c>
      <c r="E79" s="11" t="n">
        <v>1741</v>
      </c>
      <c r="F79" s="11" t="n">
        <v>786</v>
      </c>
    </row>
    <row r="80" customFormat="false" ht="15" hidden="false" customHeight="false" outlineLevel="0" collapsed="false">
      <c r="A80" s="10" t="s">
        <v>69</v>
      </c>
      <c r="B80" s="11" t="n">
        <v>2026</v>
      </c>
      <c r="C80" s="11" t="n">
        <v>3</v>
      </c>
      <c r="D80" s="10" t="s">
        <v>44</v>
      </c>
      <c r="E80" s="11" t="n">
        <v>2488</v>
      </c>
      <c r="F80" s="11" t="n">
        <v>747</v>
      </c>
    </row>
    <row r="81" customFormat="false" ht="15" hidden="false" customHeight="false" outlineLevel="0" collapsed="false">
      <c r="A81" s="10" t="s">
        <v>69</v>
      </c>
      <c r="B81" s="11" t="n">
        <v>2026</v>
      </c>
      <c r="C81" s="11" t="n">
        <v>1</v>
      </c>
      <c r="D81" s="10" t="s">
        <v>76</v>
      </c>
      <c r="E81" s="11" t="n">
        <v>86</v>
      </c>
      <c r="F81" s="11" t="n">
        <v>86</v>
      </c>
    </row>
    <row r="82" customFormat="false" ht="15" hidden="false" customHeight="false" outlineLevel="0" collapsed="false">
      <c r="A82" s="10" t="s">
        <v>69</v>
      </c>
      <c r="B82" s="11" t="n">
        <v>2026</v>
      </c>
      <c r="C82" s="11" t="n">
        <v>2</v>
      </c>
      <c r="D82" s="10" t="s">
        <v>76</v>
      </c>
      <c r="E82" s="11" t="n">
        <v>176</v>
      </c>
      <c r="F82" s="11" t="n">
        <v>90</v>
      </c>
    </row>
    <row r="83" customFormat="false" ht="15" hidden="false" customHeight="false" outlineLevel="0" collapsed="false">
      <c r="A83" s="10" t="s">
        <v>69</v>
      </c>
      <c r="B83" s="11" t="n">
        <v>2026</v>
      </c>
      <c r="C83" s="11" t="n">
        <v>3</v>
      </c>
      <c r="D83" s="10" t="s">
        <v>76</v>
      </c>
      <c r="E83" s="11" t="n">
        <v>273</v>
      </c>
      <c r="F83" s="11" t="n">
        <v>97</v>
      </c>
    </row>
    <row r="84" customFormat="false" ht="15" hidden="false" customHeight="false" outlineLevel="0" collapsed="false">
      <c r="A84" s="10" t="s">
        <v>69</v>
      </c>
      <c r="B84" s="11" t="n">
        <v>2025</v>
      </c>
      <c r="C84" s="11" t="n">
        <v>1</v>
      </c>
      <c r="D84" s="10" t="s">
        <v>57</v>
      </c>
      <c r="E84" s="11" t="n">
        <v>176</v>
      </c>
      <c r="F84" s="11" t="n">
        <v>176</v>
      </c>
    </row>
    <row r="85" customFormat="false" ht="15" hidden="false" customHeight="false" outlineLevel="0" collapsed="false">
      <c r="A85" s="10" t="s">
        <v>69</v>
      </c>
      <c r="B85" s="11" t="n">
        <v>2025</v>
      </c>
      <c r="C85" s="11" t="n">
        <v>2</v>
      </c>
      <c r="D85" s="10" t="s">
        <v>57</v>
      </c>
      <c r="E85" s="11" t="n">
        <v>335</v>
      </c>
      <c r="F85" s="11" t="n">
        <v>159</v>
      </c>
    </row>
    <row r="86" customFormat="false" ht="15" hidden="false" customHeight="false" outlineLevel="0" collapsed="false">
      <c r="A86" s="10" t="s">
        <v>69</v>
      </c>
      <c r="B86" s="11" t="n">
        <v>2025</v>
      </c>
      <c r="C86" s="11" t="n">
        <v>3</v>
      </c>
      <c r="D86" s="10" t="s">
        <v>57</v>
      </c>
      <c r="E86" s="11" t="n">
        <v>488</v>
      </c>
      <c r="F86" s="11" t="n">
        <v>153</v>
      </c>
    </row>
    <row r="87" customFormat="false" ht="15" hidden="false" customHeight="false" outlineLevel="0" collapsed="false">
      <c r="A87" s="10" t="s">
        <v>69</v>
      </c>
      <c r="B87" s="11" t="n">
        <v>2025</v>
      </c>
      <c r="C87" s="11" t="n">
        <v>4</v>
      </c>
      <c r="D87" s="10" t="s">
        <v>57</v>
      </c>
      <c r="E87" s="11" t="n">
        <v>637</v>
      </c>
      <c r="F87" s="11" t="n">
        <v>149</v>
      </c>
    </row>
    <row r="88" customFormat="false" ht="15" hidden="false" customHeight="false" outlineLevel="0" collapsed="false">
      <c r="A88" s="10" t="s">
        <v>69</v>
      </c>
      <c r="B88" s="11" t="n">
        <v>2025</v>
      </c>
      <c r="C88" s="11" t="n">
        <v>5</v>
      </c>
      <c r="D88" s="10" t="s">
        <v>57</v>
      </c>
      <c r="E88" s="11" t="n">
        <v>833</v>
      </c>
      <c r="F88" s="11" t="n">
        <v>196</v>
      </c>
    </row>
    <row r="89" customFormat="false" ht="15" hidden="false" customHeight="false" outlineLevel="0" collapsed="false">
      <c r="A89" s="10" t="s">
        <v>69</v>
      </c>
      <c r="B89" s="11" t="n">
        <v>2025</v>
      </c>
      <c r="C89" s="11" t="n">
        <v>6</v>
      </c>
      <c r="D89" s="10" t="s">
        <v>57</v>
      </c>
      <c r="E89" s="11" t="n">
        <v>1011</v>
      </c>
      <c r="F89" s="11" t="n">
        <v>178</v>
      </c>
    </row>
    <row r="90" customFormat="false" ht="15" hidden="false" customHeight="false" outlineLevel="0" collapsed="false">
      <c r="A90" s="10" t="s">
        <v>69</v>
      </c>
      <c r="B90" s="11" t="n">
        <v>2025</v>
      </c>
      <c r="C90" s="11" t="n">
        <v>7</v>
      </c>
      <c r="D90" s="10" t="s">
        <v>57</v>
      </c>
      <c r="E90" s="11" t="n">
        <v>1223</v>
      </c>
      <c r="F90" s="11" t="n">
        <v>212</v>
      </c>
    </row>
    <row r="91" customFormat="false" ht="15" hidden="false" customHeight="false" outlineLevel="0" collapsed="false">
      <c r="A91" s="10" t="s">
        <v>69</v>
      </c>
      <c r="B91" s="11" t="n">
        <v>2025</v>
      </c>
      <c r="C91" s="11" t="n">
        <v>8</v>
      </c>
      <c r="D91" s="10" t="s">
        <v>57</v>
      </c>
      <c r="E91" s="11" t="n">
        <v>1421</v>
      </c>
      <c r="F91" s="11" t="n">
        <v>198</v>
      </c>
    </row>
    <row r="92" customFormat="false" ht="15" hidden="false" customHeight="false" outlineLevel="0" collapsed="false">
      <c r="A92" s="10" t="s">
        <v>69</v>
      </c>
      <c r="B92" s="11" t="n">
        <v>2025</v>
      </c>
      <c r="C92" s="11" t="n">
        <v>9</v>
      </c>
      <c r="D92" s="10" t="s">
        <v>57</v>
      </c>
      <c r="E92" s="11" t="n">
        <v>1619</v>
      </c>
      <c r="F92" s="11" t="n">
        <v>198</v>
      </c>
    </row>
    <row r="93" customFormat="false" ht="15" hidden="false" customHeight="false" outlineLevel="0" collapsed="false">
      <c r="A93" s="10" t="s">
        <v>69</v>
      </c>
      <c r="B93" s="11" t="n">
        <v>2025</v>
      </c>
      <c r="C93" s="11" t="n">
        <v>10</v>
      </c>
      <c r="D93" s="10" t="s">
        <v>57</v>
      </c>
      <c r="E93" s="11" t="n">
        <v>1864</v>
      </c>
      <c r="F93" s="11" t="n">
        <v>245</v>
      </c>
    </row>
    <row r="94" customFormat="false" ht="15" hidden="false" customHeight="false" outlineLevel="0" collapsed="false">
      <c r="A94" s="10" t="s">
        <v>69</v>
      </c>
      <c r="B94" s="11" t="n">
        <v>2025</v>
      </c>
      <c r="C94" s="11" t="n">
        <v>11</v>
      </c>
      <c r="D94" s="10" t="s">
        <v>57</v>
      </c>
      <c r="E94" s="11" t="n">
        <v>2127</v>
      </c>
      <c r="F94" s="11" t="n">
        <v>263</v>
      </c>
    </row>
    <row r="95" customFormat="false" ht="15" hidden="false" customHeight="false" outlineLevel="0" collapsed="false">
      <c r="A95" s="10" t="s">
        <v>69</v>
      </c>
      <c r="B95" s="11" t="n">
        <v>2025</v>
      </c>
      <c r="C95" s="11" t="n">
        <v>12</v>
      </c>
      <c r="D95" s="10" t="s">
        <v>57</v>
      </c>
      <c r="E95" s="11" t="n">
        <v>2355</v>
      </c>
      <c r="F95" s="11" t="n">
        <v>228</v>
      </c>
    </row>
    <row r="96" customFormat="false" ht="15" hidden="false" customHeight="false" outlineLevel="0" collapsed="false">
      <c r="A96" s="10" t="s">
        <v>69</v>
      </c>
      <c r="B96" s="11" t="n">
        <v>2026</v>
      </c>
      <c r="C96" s="11" t="n">
        <v>1</v>
      </c>
      <c r="D96" s="10" t="s">
        <v>57</v>
      </c>
      <c r="E96" s="11" t="n">
        <v>245</v>
      </c>
      <c r="F96" s="11" t="n">
        <v>245</v>
      </c>
    </row>
    <row r="97" customFormat="false" ht="15" hidden="false" customHeight="false" outlineLevel="0" collapsed="false">
      <c r="A97" s="10" t="s">
        <v>69</v>
      </c>
      <c r="B97" s="11" t="n">
        <v>2026</v>
      </c>
      <c r="C97" s="11" t="n">
        <v>2</v>
      </c>
      <c r="D97" s="10" t="s">
        <v>57</v>
      </c>
      <c r="E97" s="11" t="n">
        <v>524</v>
      </c>
      <c r="F97" s="11" t="n">
        <v>279</v>
      </c>
    </row>
    <row r="98" customFormat="false" ht="15" hidden="false" customHeight="false" outlineLevel="0" collapsed="false">
      <c r="A98" s="10" t="s">
        <v>69</v>
      </c>
      <c r="B98" s="11" t="n">
        <v>2026</v>
      </c>
      <c r="C98" s="11" t="n">
        <v>3</v>
      </c>
      <c r="D98" s="10" t="s">
        <v>57</v>
      </c>
      <c r="E98" s="11" t="n">
        <v>896</v>
      </c>
      <c r="F98" s="11" t="n">
        <v>372</v>
      </c>
    </row>
    <row r="99" customFormat="false" ht="15" hidden="false" customHeight="false" outlineLevel="0" collapsed="false">
      <c r="A99" s="10" t="s">
        <v>69</v>
      </c>
      <c r="B99" s="11" t="n">
        <v>2025</v>
      </c>
      <c r="C99" s="11" t="n">
        <v>1</v>
      </c>
      <c r="D99" s="10" t="s">
        <v>104</v>
      </c>
      <c r="E99" s="11" t="n">
        <v>313</v>
      </c>
      <c r="F99" s="11" t="n">
        <v>313</v>
      </c>
    </row>
    <row r="100" customFormat="false" ht="15" hidden="false" customHeight="false" outlineLevel="0" collapsed="false">
      <c r="A100" s="10" t="s">
        <v>69</v>
      </c>
      <c r="B100" s="11" t="n">
        <v>2025</v>
      </c>
      <c r="C100" s="11" t="n">
        <v>2</v>
      </c>
      <c r="D100" s="10" t="s">
        <v>104</v>
      </c>
      <c r="E100" s="11" t="n">
        <v>677</v>
      </c>
      <c r="F100" s="11" t="n">
        <v>364</v>
      </c>
    </row>
    <row r="101" customFormat="false" ht="15" hidden="false" customHeight="false" outlineLevel="0" collapsed="false">
      <c r="A101" s="10" t="s">
        <v>69</v>
      </c>
      <c r="B101" s="11" t="n">
        <v>2025</v>
      </c>
      <c r="C101" s="11" t="n">
        <v>3</v>
      </c>
      <c r="D101" s="10" t="s">
        <v>104</v>
      </c>
      <c r="E101" s="11" t="n">
        <v>1074</v>
      </c>
      <c r="F101" s="11" t="n">
        <v>397</v>
      </c>
    </row>
    <row r="102" customFormat="false" ht="15" hidden="false" customHeight="false" outlineLevel="0" collapsed="false">
      <c r="A102" s="10" t="s">
        <v>69</v>
      </c>
      <c r="B102" s="11" t="n">
        <v>2025</v>
      </c>
      <c r="C102" s="11" t="n">
        <v>4</v>
      </c>
      <c r="D102" s="10" t="s">
        <v>104</v>
      </c>
      <c r="E102" s="11" t="n">
        <v>1495</v>
      </c>
      <c r="F102" s="11" t="n">
        <v>421</v>
      </c>
    </row>
    <row r="103" customFormat="false" ht="15" hidden="false" customHeight="false" outlineLevel="0" collapsed="false">
      <c r="A103" s="10" t="s">
        <v>69</v>
      </c>
      <c r="B103" s="11" t="n">
        <v>2025</v>
      </c>
      <c r="C103" s="11" t="n">
        <v>5</v>
      </c>
      <c r="D103" s="10" t="s">
        <v>104</v>
      </c>
      <c r="E103" s="11" t="n">
        <v>1963</v>
      </c>
      <c r="F103" s="11" t="n">
        <v>468</v>
      </c>
    </row>
    <row r="104" customFormat="false" ht="15" hidden="false" customHeight="false" outlineLevel="0" collapsed="false">
      <c r="A104" s="10" t="s">
        <v>69</v>
      </c>
      <c r="B104" s="11" t="n">
        <v>2025</v>
      </c>
      <c r="C104" s="11" t="n">
        <v>6</v>
      </c>
      <c r="D104" s="10" t="s">
        <v>56</v>
      </c>
      <c r="E104" s="11" t="n">
        <v>2477</v>
      </c>
      <c r="F104" s="11"/>
    </row>
    <row r="105" customFormat="false" ht="15" hidden="false" customHeight="false" outlineLevel="0" collapsed="false">
      <c r="A105" s="10" t="s">
        <v>69</v>
      </c>
      <c r="B105" s="11" t="n">
        <v>2025</v>
      </c>
      <c r="C105" s="11" t="n">
        <v>7</v>
      </c>
      <c r="D105" s="10" t="s">
        <v>56</v>
      </c>
      <c r="E105" s="11" t="n">
        <v>2900</v>
      </c>
      <c r="F105" s="11" t="n">
        <v>423</v>
      </c>
    </row>
    <row r="106" customFormat="false" ht="15" hidden="false" customHeight="false" outlineLevel="0" collapsed="false">
      <c r="A106" s="10" t="s">
        <v>69</v>
      </c>
      <c r="B106" s="11" t="n">
        <v>2025</v>
      </c>
      <c r="C106" s="11" t="n">
        <v>8</v>
      </c>
      <c r="D106" s="10" t="s">
        <v>56</v>
      </c>
      <c r="E106" s="11" t="n">
        <v>3524</v>
      </c>
      <c r="F106" s="11" t="n">
        <v>624</v>
      </c>
    </row>
    <row r="107" customFormat="false" ht="15" hidden="false" customHeight="false" outlineLevel="0" collapsed="false">
      <c r="A107" s="10" t="s">
        <v>69</v>
      </c>
      <c r="B107" s="11" t="n">
        <v>2025</v>
      </c>
      <c r="C107" s="11" t="n">
        <v>9</v>
      </c>
      <c r="D107" s="10" t="s">
        <v>56</v>
      </c>
      <c r="E107" s="11" t="n">
        <v>4045</v>
      </c>
      <c r="F107" s="11" t="n">
        <v>521</v>
      </c>
    </row>
    <row r="108" customFormat="false" ht="15" hidden="false" customHeight="false" outlineLevel="0" collapsed="false">
      <c r="A108" s="10" t="s">
        <v>69</v>
      </c>
      <c r="B108" s="11" t="n">
        <v>2025</v>
      </c>
      <c r="C108" s="11" t="n">
        <v>10</v>
      </c>
      <c r="D108" s="10" t="s">
        <v>56</v>
      </c>
      <c r="E108" s="11" t="n">
        <v>4680</v>
      </c>
      <c r="F108" s="11" t="n">
        <v>635</v>
      </c>
    </row>
    <row r="109" customFormat="false" ht="15" hidden="false" customHeight="false" outlineLevel="0" collapsed="false">
      <c r="A109" s="10" t="s">
        <v>69</v>
      </c>
      <c r="B109" s="11" t="n">
        <v>2025</v>
      </c>
      <c r="C109" s="11" t="n">
        <v>11</v>
      </c>
      <c r="D109" s="10" t="s">
        <v>56</v>
      </c>
      <c r="E109" s="11" t="n">
        <v>5227</v>
      </c>
      <c r="F109" s="11" t="n">
        <v>547</v>
      </c>
    </row>
    <row r="110" customFormat="false" ht="15" hidden="false" customHeight="false" outlineLevel="0" collapsed="false">
      <c r="A110" s="10" t="s">
        <v>69</v>
      </c>
      <c r="B110" s="11" t="n">
        <v>2025</v>
      </c>
      <c r="C110" s="11" t="n">
        <v>12</v>
      </c>
      <c r="D110" s="10" t="s">
        <v>56</v>
      </c>
      <c r="E110" s="11" t="n">
        <v>5938</v>
      </c>
      <c r="F110" s="11" t="n">
        <v>711</v>
      </c>
    </row>
    <row r="111" customFormat="false" ht="15" hidden="false" customHeight="false" outlineLevel="0" collapsed="false">
      <c r="A111" s="10" t="s">
        <v>69</v>
      </c>
      <c r="B111" s="11" t="n">
        <v>2026</v>
      </c>
      <c r="C111" s="11" t="n">
        <v>1</v>
      </c>
      <c r="D111" s="10" t="s">
        <v>56</v>
      </c>
      <c r="E111" s="11" t="n">
        <v>746</v>
      </c>
      <c r="F111" s="11" t="n">
        <v>746</v>
      </c>
    </row>
    <row r="112" customFormat="false" ht="15" hidden="false" customHeight="false" outlineLevel="0" collapsed="false">
      <c r="A112" s="10" t="s">
        <v>69</v>
      </c>
      <c r="B112" s="11" t="n">
        <v>2026</v>
      </c>
      <c r="C112" s="11" t="n">
        <v>2</v>
      </c>
      <c r="D112" s="10" t="s">
        <v>56</v>
      </c>
      <c r="E112" s="11" t="n">
        <v>1650</v>
      </c>
      <c r="F112" s="11" t="n">
        <v>904</v>
      </c>
    </row>
    <row r="113" customFormat="false" ht="15" hidden="false" customHeight="false" outlineLevel="0" collapsed="false">
      <c r="A113" s="10" t="s">
        <v>69</v>
      </c>
      <c r="B113" s="11" t="n">
        <v>2026</v>
      </c>
      <c r="C113" s="11" t="n">
        <v>3</v>
      </c>
      <c r="D113" s="10" t="s">
        <v>56</v>
      </c>
      <c r="E113" s="11" t="n">
        <v>2614</v>
      </c>
      <c r="F113" s="11" t="n">
        <v>964</v>
      </c>
    </row>
    <row r="114" customFormat="false" ht="15" hidden="false" customHeight="false" outlineLevel="0" collapsed="false">
      <c r="A114" s="10" t="s">
        <v>69</v>
      </c>
      <c r="B114" s="11" t="n">
        <v>2025</v>
      </c>
      <c r="C114" s="11" t="n">
        <v>1</v>
      </c>
      <c r="D114" s="10" t="s">
        <v>43</v>
      </c>
      <c r="E114" s="11" t="n">
        <v>184</v>
      </c>
      <c r="F114" s="11" t="n">
        <v>184</v>
      </c>
    </row>
    <row r="115" customFormat="false" ht="15" hidden="false" customHeight="false" outlineLevel="0" collapsed="false">
      <c r="A115" s="10" t="s">
        <v>69</v>
      </c>
      <c r="B115" s="11" t="n">
        <v>2025</v>
      </c>
      <c r="C115" s="11" t="n">
        <v>2</v>
      </c>
      <c r="D115" s="10" t="s">
        <v>43</v>
      </c>
      <c r="E115" s="11" t="n">
        <v>334</v>
      </c>
      <c r="F115" s="11" t="n">
        <v>150</v>
      </c>
    </row>
    <row r="116" customFormat="false" ht="15" hidden="false" customHeight="false" outlineLevel="0" collapsed="false">
      <c r="A116" s="10" t="s">
        <v>69</v>
      </c>
      <c r="B116" s="11" t="n">
        <v>2025</v>
      </c>
      <c r="C116" s="11" t="n">
        <v>3</v>
      </c>
      <c r="D116" s="10" t="s">
        <v>43</v>
      </c>
      <c r="E116" s="11" t="n">
        <v>554</v>
      </c>
      <c r="F116" s="11" t="n">
        <v>220</v>
      </c>
    </row>
    <row r="117" customFormat="false" ht="15" hidden="false" customHeight="false" outlineLevel="0" collapsed="false">
      <c r="A117" s="10" t="s">
        <v>69</v>
      </c>
      <c r="B117" s="11" t="n">
        <v>2025</v>
      </c>
      <c r="C117" s="11" t="n">
        <v>4</v>
      </c>
      <c r="D117" s="10" t="s">
        <v>43</v>
      </c>
      <c r="E117" s="11" t="n">
        <v>739</v>
      </c>
      <c r="F117" s="11" t="n">
        <v>185</v>
      </c>
    </row>
    <row r="118" customFormat="false" ht="15" hidden="false" customHeight="false" outlineLevel="0" collapsed="false">
      <c r="A118" s="10" t="s">
        <v>69</v>
      </c>
      <c r="B118" s="11" t="n">
        <v>2025</v>
      </c>
      <c r="C118" s="11" t="n">
        <v>5</v>
      </c>
      <c r="D118" s="10" t="s">
        <v>43</v>
      </c>
      <c r="E118" s="11" t="n">
        <v>927</v>
      </c>
      <c r="F118" s="11" t="n">
        <v>188</v>
      </c>
    </row>
    <row r="119" customFormat="false" ht="15" hidden="false" customHeight="false" outlineLevel="0" collapsed="false">
      <c r="A119" s="10" t="s">
        <v>69</v>
      </c>
      <c r="B119" s="11" t="n">
        <v>2025</v>
      </c>
      <c r="C119" s="11" t="n">
        <v>6</v>
      </c>
      <c r="D119" s="10" t="s">
        <v>43</v>
      </c>
      <c r="E119" s="11" t="n">
        <v>1157</v>
      </c>
      <c r="F119" s="11" t="n">
        <v>230</v>
      </c>
    </row>
    <row r="120" customFormat="false" ht="15" hidden="false" customHeight="false" outlineLevel="0" collapsed="false">
      <c r="A120" s="10" t="s">
        <v>69</v>
      </c>
      <c r="B120" s="11" t="n">
        <v>2025</v>
      </c>
      <c r="C120" s="11" t="n">
        <v>7</v>
      </c>
      <c r="D120" s="10" t="s">
        <v>43</v>
      </c>
      <c r="E120" s="11" t="n">
        <v>1410</v>
      </c>
      <c r="F120" s="11" t="n">
        <v>253</v>
      </c>
    </row>
    <row r="121" customFormat="false" ht="15" hidden="false" customHeight="false" outlineLevel="0" collapsed="false">
      <c r="A121" s="10" t="s">
        <v>69</v>
      </c>
      <c r="B121" s="11" t="n">
        <v>2025</v>
      </c>
      <c r="C121" s="11" t="n">
        <v>8</v>
      </c>
      <c r="D121" s="10" t="s">
        <v>43</v>
      </c>
      <c r="E121" s="11" t="n">
        <v>1682</v>
      </c>
      <c r="F121" s="11" t="n">
        <v>272</v>
      </c>
    </row>
    <row r="122" customFormat="false" ht="15" hidden="false" customHeight="false" outlineLevel="0" collapsed="false">
      <c r="A122" s="10" t="s">
        <v>69</v>
      </c>
      <c r="B122" s="11" t="n">
        <v>2025</v>
      </c>
      <c r="C122" s="11" t="n">
        <v>9</v>
      </c>
      <c r="D122" s="10" t="s">
        <v>43</v>
      </c>
      <c r="E122" s="11" t="n">
        <v>1889</v>
      </c>
      <c r="F122" s="11" t="n">
        <v>207</v>
      </c>
    </row>
    <row r="123" customFormat="false" ht="15" hidden="false" customHeight="false" outlineLevel="0" collapsed="false">
      <c r="A123" s="10" t="s">
        <v>69</v>
      </c>
      <c r="B123" s="11" t="n">
        <v>2025</v>
      </c>
      <c r="C123" s="11" t="n">
        <v>10</v>
      </c>
      <c r="D123" s="10" t="s">
        <v>43</v>
      </c>
      <c r="E123" s="11" t="n">
        <v>2197</v>
      </c>
      <c r="F123" s="11" t="n">
        <v>308</v>
      </c>
    </row>
    <row r="124" customFormat="false" ht="15" hidden="false" customHeight="false" outlineLevel="0" collapsed="false">
      <c r="A124" s="10" t="s">
        <v>69</v>
      </c>
      <c r="B124" s="11" t="n">
        <v>2025</v>
      </c>
      <c r="C124" s="11" t="n">
        <v>11</v>
      </c>
      <c r="D124" s="10" t="s">
        <v>43</v>
      </c>
      <c r="E124" s="11" t="n">
        <v>2524</v>
      </c>
      <c r="F124" s="11" t="n">
        <v>327</v>
      </c>
    </row>
    <row r="125" customFormat="false" ht="15" hidden="false" customHeight="false" outlineLevel="0" collapsed="false">
      <c r="A125" s="10" t="s">
        <v>69</v>
      </c>
      <c r="B125" s="11" t="n">
        <v>2025</v>
      </c>
      <c r="C125" s="11" t="n">
        <v>12</v>
      </c>
      <c r="D125" s="10" t="s">
        <v>43</v>
      </c>
      <c r="E125" s="11" t="n">
        <v>2827</v>
      </c>
      <c r="F125" s="11" t="n">
        <v>303</v>
      </c>
    </row>
    <row r="126" customFormat="false" ht="15" hidden="false" customHeight="false" outlineLevel="0" collapsed="false">
      <c r="A126" s="10" t="s">
        <v>69</v>
      </c>
      <c r="B126" s="11" t="n">
        <v>2026</v>
      </c>
      <c r="C126" s="11" t="n">
        <v>1</v>
      </c>
      <c r="D126" s="10" t="s">
        <v>43</v>
      </c>
      <c r="E126" s="11" t="n">
        <v>309</v>
      </c>
      <c r="F126" s="11" t="n">
        <v>309</v>
      </c>
    </row>
    <row r="127" customFormat="false" ht="15" hidden="false" customHeight="false" outlineLevel="0" collapsed="false">
      <c r="A127" s="10" t="s">
        <v>69</v>
      </c>
      <c r="B127" s="11" t="n">
        <v>2026</v>
      </c>
      <c r="C127" s="11" t="n">
        <v>3</v>
      </c>
      <c r="D127" s="10" t="s">
        <v>43</v>
      </c>
      <c r="E127" s="11" t="n">
        <v>983</v>
      </c>
      <c r="F127" s="11"/>
    </row>
    <row r="128" customFormat="false" ht="15" hidden="false" customHeight="false" outlineLevel="0" collapsed="false">
      <c r="A128" s="10" t="s">
        <v>69</v>
      </c>
      <c r="B128" s="11" t="n">
        <v>2026</v>
      </c>
      <c r="C128" s="11" t="n">
        <v>2</v>
      </c>
      <c r="D128" s="10" t="s">
        <v>105</v>
      </c>
      <c r="E128" s="11" t="n">
        <v>637</v>
      </c>
      <c r="F128" s="11"/>
    </row>
    <row r="129" customFormat="false" ht="15" hidden="false" customHeight="false" outlineLevel="0" collapsed="false">
      <c r="A129" s="10" t="s">
        <v>69</v>
      </c>
      <c r="B129" s="11" t="n">
        <v>2025</v>
      </c>
      <c r="C129" s="11" t="n">
        <v>1</v>
      </c>
      <c r="D129" s="10" t="s">
        <v>40</v>
      </c>
      <c r="E129" s="11" t="n">
        <v>1454</v>
      </c>
      <c r="F129" s="11" t="n">
        <v>1454</v>
      </c>
    </row>
    <row r="130" customFormat="false" ht="15" hidden="false" customHeight="false" outlineLevel="0" collapsed="false">
      <c r="A130" s="10" t="s">
        <v>69</v>
      </c>
      <c r="B130" s="11" t="n">
        <v>2025</v>
      </c>
      <c r="C130" s="11" t="n">
        <v>2</v>
      </c>
      <c r="D130" s="10" t="s">
        <v>40</v>
      </c>
      <c r="E130" s="11" t="n">
        <v>2692</v>
      </c>
      <c r="F130" s="11" t="n">
        <v>1238</v>
      </c>
    </row>
    <row r="131" customFormat="false" ht="15" hidden="false" customHeight="false" outlineLevel="0" collapsed="false">
      <c r="A131" s="10" t="s">
        <v>69</v>
      </c>
      <c r="B131" s="11" t="n">
        <v>2025</v>
      </c>
      <c r="C131" s="11" t="n">
        <v>3</v>
      </c>
      <c r="D131" s="10" t="s">
        <v>40</v>
      </c>
      <c r="E131" s="11" t="n">
        <v>4045</v>
      </c>
      <c r="F131" s="11" t="n">
        <v>1353</v>
      </c>
    </row>
    <row r="132" customFormat="false" ht="15" hidden="false" customHeight="false" outlineLevel="0" collapsed="false">
      <c r="A132" s="10" t="s">
        <v>69</v>
      </c>
      <c r="B132" s="11" t="n">
        <v>2025</v>
      </c>
      <c r="C132" s="11" t="n">
        <v>4</v>
      </c>
      <c r="D132" s="10" t="s">
        <v>40</v>
      </c>
      <c r="E132" s="11" t="n">
        <v>5370</v>
      </c>
      <c r="F132" s="11" t="n">
        <v>1325</v>
      </c>
    </row>
    <row r="133" customFormat="false" ht="15" hidden="false" customHeight="false" outlineLevel="0" collapsed="false">
      <c r="A133" s="10" t="s">
        <v>69</v>
      </c>
      <c r="B133" s="11" t="n">
        <v>2025</v>
      </c>
      <c r="C133" s="11" t="n">
        <v>5</v>
      </c>
      <c r="D133" s="10" t="s">
        <v>40</v>
      </c>
      <c r="E133" s="11" t="n">
        <v>6735</v>
      </c>
      <c r="F133" s="11" t="n">
        <v>1365</v>
      </c>
    </row>
    <row r="134" customFormat="false" ht="15" hidden="false" customHeight="false" outlineLevel="0" collapsed="false">
      <c r="A134" s="10" t="s">
        <v>69</v>
      </c>
      <c r="B134" s="11" t="n">
        <v>2025</v>
      </c>
      <c r="C134" s="11" t="n">
        <v>6</v>
      </c>
      <c r="D134" s="10" t="s">
        <v>40</v>
      </c>
      <c r="E134" s="11" t="n">
        <v>7948</v>
      </c>
      <c r="F134" s="11" t="n">
        <v>1213</v>
      </c>
    </row>
    <row r="135" customFormat="false" ht="15" hidden="false" customHeight="false" outlineLevel="0" collapsed="false">
      <c r="A135" s="10" t="s">
        <v>69</v>
      </c>
      <c r="B135" s="11" t="n">
        <v>2025</v>
      </c>
      <c r="C135" s="11" t="n">
        <v>7</v>
      </c>
      <c r="D135" s="10" t="s">
        <v>40</v>
      </c>
      <c r="E135" s="11" t="n">
        <v>9145</v>
      </c>
      <c r="F135" s="11" t="n">
        <v>1197</v>
      </c>
    </row>
    <row r="136" customFormat="false" ht="15" hidden="false" customHeight="false" outlineLevel="0" collapsed="false">
      <c r="A136" s="10" t="s">
        <v>69</v>
      </c>
      <c r="B136" s="11" t="n">
        <v>2025</v>
      </c>
      <c r="C136" s="11" t="n">
        <v>8</v>
      </c>
      <c r="D136" s="10" t="s">
        <v>40</v>
      </c>
      <c r="E136" s="11" t="n">
        <v>10526</v>
      </c>
      <c r="F136" s="11" t="n">
        <v>1381</v>
      </c>
    </row>
    <row r="137" customFormat="false" ht="15" hidden="false" customHeight="false" outlineLevel="0" collapsed="false">
      <c r="A137" s="10" t="s">
        <v>69</v>
      </c>
      <c r="B137" s="11" t="n">
        <v>2025</v>
      </c>
      <c r="C137" s="11" t="n">
        <v>9</v>
      </c>
      <c r="D137" s="10" t="s">
        <v>40</v>
      </c>
      <c r="E137" s="11" t="n">
        <v>11877</v>
      </c>
      <c r="F137" s="11" t="n">
        <v>1351</v>
      </c>
    </row>
    <row r="138" customFormat="false" ht="15" hidden="false" customHeight="false" outlineLevel="0" collapsed="false">
      <c r="A138" s="10" t="s">
        <v>69</v>
      </c>
      <c r="B138" s="11" t="n">
        <v>2025</v>
      </c>
      <c r="C138" s="11" t="n">
        <v>10</v>
      </c>
      <c r="D138" s="10" t="s">
        <v>40</v>
      </c>
      <c r="E138" s="11" t="n">
        <v>12913</v>
      </c>
      <c r="F138" s="11" t="n">
        <v>1036</v>
      </c>
    </row>
    <row r="139" customFormat="false" ht="15" hidden="false" customHeight="false" outlineLevel="0" collapsed="false">
      <c r="A139" s="10" t="s">
        <v>69</v>
      </c>
      <c r="B139" s="11" t="n">
        <v>2025</v>
      </c>
      <c r="C139" s="11" t="n">
        <v>11</v>
      </c>
      <c r="D139" s="10" t="s">
        <v>40</v>
      </c>
      <c r="E139" s="11" t="n">
        <v>14468</v>
      </c>
      <c r="F139" s="11" t="n">
        <v>1555</v>
      </c>
    </row>
    <row r="140" customFormat="false" ht="15" hidden="false" customHeight="false" outlineLevel="0" collapsed="false">
      <c r="A140" s="10" t="s">
        <v>69</v>
      </c>
      <c r="B140" s="11" t="n">
        <v>2025</v>
      </c>
      <c r="C140" s="11" t="n">
        <v>12</v>
      </c>
      <c r="D140" s="10" t="s">
        <v>40</v>
      </c>
      <c r="E140" s="11" t="n">
        <v>16069</v>
      </c>
      <c r="F140" s="11" t="n">
        <v>1601</v>
      </c>
    </row>
    <row r="141" customFormat="false" ht="15" hidden="false" customHeight="false" outlineLevel="0" collapsed="false">
      <c r="A141" s="10" t="s">
        <v>69</v>
      </c>
      <c r="B141" s="11" t="n">
        <v>2026</v>
      </c>
      <c r="C141" s="11" t="n">
        <v>1</v>
      </c>
      <c r="D141" s="10" t="s">
        <v>40</v>
      </c>
      <c r="E141" s="11" t="n">
        <v>1640</v>
      </c>
      <c r="F141" s="11" t="n">
        <v>1640</v>
      </c>
    </row>
    <row r="142" customFormat="false" ht="15" hidden="false" customHeight="false" outlineLevel="0" collapsed="false">
      <c r="A142" s="10" t="s">
        <v>69</v>
      </c>
      <c r="B142" s="11" t="n">
        <v>2026</v>
      </c>
      <c r="C142" s="11" t="n">
        <v>2</v>
      </c>
      <c r="D142" s="10" t="s">
        <v>40</v>
      </c>
      <c r="E142" s="11" t="n">
        <v>3597</v>
      </c>
      <c r="F142" s="11" t="n">
        <v>1957</v>
      </c>
    </row>
    <row r="143" customFormat="false" ht="15" hidden="false" customHeight="false" outlineLevel="0" collapsed="false">
      <c r="A143" s="10" t="s">
        <v>69</v>
      </c>
      <c r="B143" s="11" t="n">
        <v>2026</v>
      </c>
      <c r="C143" s="11" t="n">
        <v>3</v>
      </c>
      <c r="D143" s="10" t="s">
        <v>40</v>
      </c>
      <c r="E143" s="11" t="n">
        <v>5447</v>
      </c>
      <c r="F143" s="11" t="n">
        <v>1850</v>
      </c>
    </row>
    <row r="144" customFormat="false" ht="15" hidden="false" customHeight="false" outlineLevel="0" collapsed="false">
      <c r="A144" s="10" t="s">
        <v>69</v>
      </c>
      <c r="B144" s="11" t="n">
        <v>2025</v>
      </c>
      <c r="C144" s="11" t="n">
        <v>1</v>
      </c>
      <c r="D144" s="10" t="s">
        <v>81</v>
      </c>
      <c r="E144" s="11" t="n">
        <v>303</v>
      </c>
      <c r="F144" s="11" t="n">
        <v>303</v>
      </c>
    </row>
    <row r="145" customFormat="false" ht="15" hidden="false" customHeight="false" outlineLevel="0" collapsed="false">
      <c r="A145" s="10" t="s">
        <v>69</v>
      </c>
      <c r="B145" s="11" t="n">
        <v>2025</v>
      </c>
      <c r="C145" s="11" t="n">
        <v>2</v>
      </c>
      <c r="D145" s="10" t="s">
        <v>81</v>
      </c>
      <c r="E145" s="11" t="n">
        <v>418</v>
      </c>
      <c r="F145" s="11" t="n">
        <v>115</v>
      </c>
    </row>
    <row r="146" customFormat="false" ht="15" hidden="false" customHeight="false" outlineLevel="0" collapsed="false">
      <c r="A146" s="10" t="s">
        <v>69</v>
      </c>
      <c r="B146" s="11" t="n">
        <v>2025</v>
      </c>
      <c r="C146" s="11" t="n">
        <v>7</v>
      </c>
      <c r="D146" s="10" t="s">
        <v>81</v>
      </c>
      <c r="E146" s="11" t="n">
        <v>1504</v>
      </c>
      <c r="F146" s="11"/>
    </row>
    <row r="147" customFormat="false" ht="15" hidden="false" customHeight="false" outlineLevel="0" collapsed="false">
      <c r="A147" s="10" t="s">
        <v>69</v>
      </c>
      <c r="B147" s="11" t="n">
        <v>2025</v>
      </c>
      <c r="C147" s="11" t="n">
        <v>8</v>
      </c>
      <c r="D147" s="10" t="s">
        <v>81</v>
      </c>
      <c r="E147" s="11" t="n">
        <v>3996</v>
      </c>
      <c r="F147" s="11" t="n">
        <v>2492</v>
      </c>
    </row>
    <row r="148" customFormat="false" ht="15" hidden="false" customHeight="false" outlineLevel="0" collapsed="false">
      <c r="A148" s="10" t="s">
        <v>69</v>
      </c>
      <c r="B148" s="11" t="n">
        <v>2025</v>
      </c>
      <c r="C148" s="11" t="n">
        <v>9</v>
      </c>
      <c r="D148" s="10" t="s">
        <v>81</v>
      </c>
      <c r="E148" s="11" t="n">
        <v>5000</v>
      </c>
      <c r="F148" s="11" t="n">
        <v>1004</v>
      </c>
    </row>
    <row r="149" customFormat="false" ht="15" hidden="false" customHeight="false" outlineLevel="0" collapsed="false">
      <c r="A149" s="10" t="s">
        <v>69</v>
      </c>
      <c r="B149" s="11" t="n">
        <v>2025</v>
      </c>
      <c r="C149" s="11" t="n">
        <v>10</v>
      </c>
      <c r="D149" s="10" t="s">
        <v>81</v>
      </c>
      <c r="E149" s="11" t="n">
        <v>2304</v>
      </c>
      <c r="F149" s="11"/>
    </row>
    <row r="150" customFormat="false" ht="15" hidden="false" customHeight="false" outlineLevel="0" collapsed="false">
      <c r="A150" s="10" t="s">
        <v>69</v>
      </c>
      <c r="B150" s="11" t="n">
        <v>2025</v>
      </c>
      <c r="C150" s="11" t="n">
        <v>11</v>
      </c>
      <c r="D150" s="10" t="s">
        <v>81</v>
      </c>
      <c r="E150" s="11" t="n">
        <v>3154</v>
      </c>
      <c r="F150" s="11" t="n">
        <v>850</v>
      </c>
    </row>
    <row r="151" customFormat="false" ht="15" hidden="false" customHeight="false" outlineLevel="0" collapsed="false">
      <c r="A151" s="10" t="s">
        <v>69</v>
      </c>
      <c r="B151" s="11" t="n">
        <v>2025</v>
      </c>
      <c r="C151" s="11" t="n">
        <v>12</v>
      </c>
      <c r="D151" s="10" t="s">
        <v>81</v>
      </c>
      <c r="E151" s="11" t="n">
        <v>3522</v>
      </c>
      <c r="F151" s="11" t="n">
        <v>368</v>
      </c>
    </row>
    <row r="152" customFormat="false" ht="15" hidden="false" customHeight="false" outlineLevel="0" collapsed="false">
      <c r="A152" s="10" t="s">
        <v>69</v>
      </c>
      <c r="B152" s="11" t="n">
        <v>2026</v>
      </c>
      <c r="C152" s="11" t="n">
        <v>3</v>
      </c>
      <c r="D152" s="10" t="s">
        <v>81</v>
      </c>
      <c r="E152" s="11" t="n">
        <v>1273</v>
      </c>
      <c r="F152" s="11"/>
    </row>
    <row r="153" customFormat="false" ht="15" hidden="false" customHeight="false" outlineLevel="0" collapsed="false">
      <c r="A153" s="10" t="s">
        <v>69</v>
      </c>
      <c r="B153" s="11" t="n">
        <v>2025</v>
      </c>
      <c r="C153" s="11" t="n">
        <v>1</v>
      </c>
      <c r="D153" s="10" t="s">
        <v>98</v>
      </c>
      <c r="E153" s="11" t="n">
        <v>146</v>
      </c>
      <c r="F153" s="11" t="n">
        <v>146</v>
      </c>
    </row>
    <row r="154" customFormat="false" ht="15" hidden="false" customHeight="false" outlineLevel="0" collapsed="false">
      <c r="A154" s="10" t="s">
        <v>69</v>
      </c>
      <c r="B154" s="11" t="n">
        <v>2025</v>
      </c>
      <c r="C154" s="11" t="n">
        <v>2</v>
      </c>
      <c r="D154" s="10" t="s">
        <v>98</v>
      </c>
      <c r="E154" s="11" t="n">
        <v>267</v>
      </c>
      <c r="F154" s="11" t="n">
        <v>121</v>
      </c>
    </row>
    <row r="155" customFormat="false" ht="15" hidden="false" customHeight="false" outlineLevel="0" collapsed="false">
      <c r="A155" s="10" t="s">
        <v>69</v>
      </c>
      <c r="B155" s="11" t="n">
        <v>2025</v>
      </c>
      <c r="C155" s="11" t="n">
        <v>3</v>
      </c>
      <c r="D155" s="10" t="s">
        <v>98</v>
      </c>
      <c r="E155" s="11" t="n">
        <v>443</v>
      </c>
      <c r="F155" s="11" t="n">
        <v>176</v>
      </c>
    </row>
    <row r="156" customFormat="false" ht="15" hidden="false" customHeight="false" outlineLevel="0" collapsed="false">
      <c r="A156" s="10" t="s">
        <v>69</v>
      </c>
      <c r="B156" s="11" t="n">
        <v>2025</v>
      </c>
      <c r="C156" s="11" t="n">
        <v>4</v>
      </c>
      <c r="D156" s="10" t="s">
        <v>98</v>
      </c>
      <c r="E156" s="11" t="n">
        <v>591</v>
      </c>
      <c r="F156" s="11" t="n">
        <v>148</v>
      </c>
    </row>
    <row r="157" customFormat="false" ht="15" hidden="false" customHeight="false" outlineLevel="0" collapsed="false">
      <c r="A157" s="10" t="s">
        <v>69</v>
      </c>
      <c r="B157" s="11" t="n">
        <v>2025</v>
      </c>
      <c r="C157" s="11" t="n">
        <v>5</v>
      </c>
      <c r="D157" s="10" t="s">
        <v>98</v>
      </c>
      <c r="E157" s="11" t="n">
        <v>754</v>
      </c>
      <c r="F157" s="11" t="n">
        <v>163</v>
      </c>
    </row>
    <row r="158" customFormat="false" ht="15" hidden="false" customHeight="false" outlineLevel="0" collapsed="false">
      <c r="A158" s="10" t="s">
        <v>69</v>
      </c>
      <c r="B158" s="11" t="n">
        <v>2025</v>
      </c>
      <c r="C158" s="11" t="n">
        <v>6</v>
      </c>
      <c r="D158" s="10" t="s">
        <v>98</v>
      </c>
      <c r="E158" s="11" t="n">
        <v>925</v>
      </c>
      <c r="F158" s="11" t="n">
        <v>171</v>
      </c>
    </row>
    <row r="159" customFormat="false" ht="15" hidden="false" customHeight="false" outlineLevel="0" collapsed="false">
      <c r="A159" s="10" t="s">
        <v>69</v>
      </c>
      <c r="B159" s="11" t="n">
        <v>2025</v>
      </c>
      <c r="C159" s="11" t="n">
        <v>7</v>
      </c>
      <c r="D159" s="10" t="s">
        <v>98</v>
      </c>
      <c r="E159" s="11" t="n">
        <v>1129</v>
      </c>
      <c r="F159" s="11" t="n">
        <v>204</v>
      </c>
    </row>
    <row r="160" customFormat="false" ht="15" hidden="false" customHeight="false" outlineLevel="0" collapsed="false">
      <c r="A160" s="10" t="s">
        <v>69</v>
      </c>
      <c r="B160" s="11" t="n">
        <v>2025</v>
      </c>
      <c r="C160" s="11" t="n">
        <v>8</v>
      </c>
      <c r="D160" s="10" t="s">
        <v>98</v>
      </c>
      <c r="E160" s="11" t="n">
        <v>1323</v>
      </c>
      <c r="F160" s="11" t="n">
        <v>194</v>
      </c>
    </row>
    <row r="161" customFormat="false" ht="15" hidden="false" customHeight="false" outlineLevel="0" collapsed="false">
      <c r="A161" s="10" t="s">
        <v>69</v>
      </c>
      <c r="B161" s="11" t="n">
        <v>2025</v>
      </c>
      <c r="C161" s="11" t="n">
        <v>9</v>
      </c>
      <c r="D161" s="10" t="s">
        <v>98</v>
      </c>
      <c r="E161" s="11" t="n">
        <v>1501</v>
      </c>
      <c r="F161" s="11" t="n">
        <v>178</v>
      </c>
    </row>
    <row r="162" customFormat="false" ht="15" hidden="false" customHeight="false" outlineLevel="0" collapsed="false">
      <c r="A162" s="10" t="s">
        <v>69</v>
      </c>
      <c r="B162" s="11" t="n">
        <v>2025</v>
      </c>
      <c r="C162" s="11" t="n">
        <v>10</v>
      </c>
      <c r="D162" s="10" t="s">
        <v>98</v>
      </c>
      <c r="E162" s="11" t="n">
        <v>1687</v>
      </c>
      <c r="F162" s="11" t="n">
        <v>186</v>
      </c>
    </row>
    <row r="163" customFormat="false" ht="15" hidden="false" customHeight="false" outlineLevel="0" collapsed="false">
      <c r="A163" s="10" t="s">
        <v>69</v>
      </c>
      <c r="B163" s="11" t="n">
        <v>2025</v>
      </c>
      <c r="C163" s="11" t="n">
        <v>11</v>
      </c>
      <c r="D163" s="10" t="s">
        <v>98</v>
      </c>
      <c r="E163" s="11" t="n">
        <v>1899</v>
      </c>
      <c r="F163" s="11" t="n">
        <v>212</v>
      </c>
    </row>
    <row r="164" customFormat="false" ht="15" hidden="false" customHeight="false" outlineLevel="0" collapsed="false">
      <c r="A164" s="10" t="s">
        <v>69</v>
      </c>
      <c r="B164" s="11" t="n">
        <v>2025</v>
      </c>
      <c r="C164" s="11" t="n">
        <v>12</v>
      </c>
      <c r="D164" s="10" t="s">
        <v>98</v>
      </c>
      <c r="E164" s="11" t="n">
        <v>2018</v>
      </c>
      <c r="F164" s="11" t="n">
        <v>119</v>
      </c>
    </row>
    <row r="165" customFormat="false" ht="15" hidden="false" customHeight="false" outlineLevel="0" collapsed="false">
      <c r="A165" s="10" t="s">
        <v>69</v>
      </c>
      <c r="B165" s="11" t="n">
        <v>2026</v>
      </c>
      <c r="C165" s="11" t="n">
        <v>3</v>
      </c>
      <c r="D165" s="10" t="s">
        <v>98</v>
      </c>
      <c r="E165" s="11" t="n">
        <v>667</v>
      </c>
      <c r="F165" s="11"/>
    </row>
    <row r="166" customFormat="false" ht="15" hidden="false" customHeight="false" outlineLevel="0" collapsed="false">
      <c r="A166" s="10" t="s">
        <v>69</v>
      </c>
      <c r="B166" s="11" t="n">
        <v>2025</v>
      </c>
      <c r="C166" s="11" t="n">
        <v>3</v>
      </c>
      <c r="D166" s="10" t="s">
        <v>53</v>
      </c>
      <c r="E166" s="11" t="n">
        <v>605</v>
      </c>
      <c r="F166" s="11"/>
    </row>
    <row r="167" customFormat="false" ht="15" hidden="false" customHeight="false" outlineLevel="0" collapsed="false">
      <c r="A167" s="10" t="s">
        <v>69</v>
      </c>
      <c r="B167" s="11" t="n">
        <v>2025</v>
      </c>
      <c r="C167" s="11" t="n">
        <v>4</v>
      </c>
      <c r="D167" s="10" t="s">
        <v>53</v>
      </c>
      <c r="E167" s="11" t="n">
        <v>994</v>
      </c>
      <c r="F167" s="11" t="n">
        <v>389</v>
      </c>
    </row>
    <row r="168" customFormat="false" ht="15" hidden="false" customHeight="false" outlineLevel="0" collapsed="false">
      <c r="A168" s="10" t="s">
        <v>69</v>
      </c>
      <c r="B168" s="11" t="n">
        <v>2025</v>
      </c>
      <c r="C168" s="11" t="n">
        <v>5</v>
      </c>
      <c r="D168" s="10" t="s">
        <v>53</v>
      </c>
      <c r="E168" s="11" t="n">
        <v>1245</v>
      </c>
      <c r="F168" s="11" t="n">
        <v>251</v>
      </c>
    </row>
    <row r="169" customFormat="false" ht="15" hidden="false" customHeight="false" outlineLevel="0" collapsed="false">
      <c r="A169" s="10" t="s">
        <v>69</v>
      </c>
      <c r="B169" s="11" t="n">
        <v>2025</v>
      </c>
      <c r="C169" s="11" t="n">
        <v>6</v>
      </c>
      <c r="D169" s="10" t="s">
        <v>53</v>
      </c>
      <c r="E169" s="11" t="n">
        <v>1553</v>
      </c>
      <c r="F169" s="11" t="n">
        <v>308</v>
      </c>
    </row>
    <row r="170" customFormat="false" ht="15" hidden="false" customHeight="false" outlineLevel="0" collapsed="false">
      <c r="A170" s="10" t="s">
        <v>69</v>
      </c>
      <c r="B170" s="11" t="n">
        <v>2026</v>
      </c>
      <c r="C170" s="11" t="n">
        <v>1</v>
      </c>
      <c r="D170" s="10" t="s">
        <v>53</v>
      </c>
      <c r="E170" s="11" t="n">
        <v>375</v>
      </c>
      <c r="F170" s="11" t="n">
        <v>375</v>
      </c>
    </row>
    <row r="171" customFormat="false" ht="15" hidden="false" customHeight="false" outlineLevel="0" collapsed="false">
      <c r="A171" s="10" t="s">
        <v>69</v>
      </c>
      <c r="B171" s="11" t="n">
        <v>2026</v>
      </c>
      <c r="C171" s="11" t="n">
        <v>2</v>
      </c>
      <c r="D171" s="10" t="s">
        <v>53</v>
      </c>
      <c r="E171" s="11" t="n">
        <v>814</v>
      </c>
      <c r="F171" s="11" t="n">
        <v>439</v>
      </c>
    </row>
    <row r="172" customFormat="false" ht="15" hidden="false" customHeight="false" outlineLevel="0" collapsed="false">
      <c r="A172" s="10" t="s">
        <v>69</v>
      </c>
      <c r="B172" s="11" t="n">
        <v>2025</v>
      </c>
      <c r="C172" s="11" t="n">
        <v>1</v>
      </c>
      <c r="D172" s="10" t="s">
        <v>52</v>
      </c>
      <c r="E172" s="11" t="n">
        <v>484</v>
      </c>
      <c r="F172" s="11" t="n">
        <v>484</v>
      </c>
    </row>
    <row r="173" customFormat="false" ht="15" hidden="false" customHeight="false" outlineLevel="0" collapsed="false">
      <c r="A173" s="10" t="s">
        <v>69</v>
      </c>
      <c r="B173" s="11" t="n">
        <v>2025</v>
      </c>
      <c r="C173" s="11" t="n">
        <v>2</v>
      </c>
      <c r="D173" s="10" t="s">
        <v>52</v>
      </c>
      <c r="E173" s="11" t="n">
        <v>873</v>
      </c>
      <c r="F173" s="11" t="n">
        <v>389</v>
      </c>
    </row>
    <row r="174" customFormat="false" ht="15" hidden="false" customHeight="false" outlineLevel="0" collapsed="false">
      <c r="A174" s="10" t="s">
        <v>69</v>
      </c>
      <c r="B174" s="11" t="n">
        <v>2025</v>
      </c>
      <c r="C174" s="11" t="n">
        <v>3</v>
      </c>
      <c r="D174" s="10" t="s">
        <v>52</v>
      </c>
      <c r="E174" s="11" t="n">
        <v>1391</v>
      </c>
      <c r="F174" s="11" t="n">
        <v>518</v>
      </c>
    </row>
    <row r="175" customFormat="false" ht="15" hidden="false" customHeight="false" outlineLevel="0" collapsed="false">
      <c r="A175" s="10" t="s">
        <v>69</v>
      </c>
      <c r="B175" s="11" t="n">
        <v>2025</v>
      </c>
      <c r="C175" s="11" t="n">
        <v>4</v>
      </c>
      <c r="D175" s="10" t="s">
        <v>52</v>
      </c>
      <c r="E175" s="11" t="n">
        <v>1850</v>
      </c>
      <c r="F175" s="11" t="n">
        <v>459</v>
      </c>
    </row>
    <row r="176" customFormat="false" ht="15" hidden="false" customHeight="false" outlineLevel="0" collapsed="false">
      <c r="A176" s="10" t="s">
        <v>69</v>
      </c>
      <c r="B176" s="11" t="n">
        <v>2025</v>
      </c>
      <c r="C176" s="11" t="n">
        <v>5</v>
      </c>
      <c r="D176" s="10" t="s">
        <v>52</v>
      </c>
      <c r="E176" s="11" t="n">
        <v>2434</v>
      </c>
      <c r="F176" s="11" t="n">
        <v>584</v>
      </c>
    </row>
    <row r="177" customFormat="false" ht="15" hidden="false" customHeight="false" outlineLevel="0" collapsed="false">
      <c r="A177" s="10" t="s">
        <v>69</v>
      </c>
      <c r="B177" s="11" t="n">
        <v>2025</v>
      </c>
      <c r="C177" s="11" t="n">
        <v>6</v>
      </c>
      <c r="D177" s="10" t="s">
        <v>52</v>
      </c>
      <c r="E177" s="11" t="n">
        <v>3034</v>
      </c>
      <c r="F177" s="11" t="n">
        <v>600</v>
      </c>
    </row>
    <row r="178" customFormat="false" ht="15" hidden="false" customHeight="false" outlineLevel="0" collapsed="false">
      <c r="A178" s="10" t="s">
        <v>69</v>
      </c>
      <c r="B178" s="11" t="n">
        <v>2025</v>
      </c>
      <c r="C178" s="11" t="n">
        <v>7</v>
      </c>
      <c r="D178" s="10" t="s">
        <v>52</v>
      </c>
      <c r="E178" s="11" t="n">
        <v>3597</v>
      </c>
      <c r="F178" s="11" t="n">
        <v>563</v>
      </c>
    </row>
    <row r="179" customFormat="false" ht="15" hidden="false" customHeight="false" outlineLevel="0" collapsed="false">
      <c r="A179" s="10" t="s">
        <v>69</v>
      </c>
      <c r="B179" s="11" t="n">
        <v>2025</v>
      </c>
      <c r="C179" s="11" t="n">
        <v>8</v>
      </c>
      <c r="D179" s="10" t="s">
        <v>52</v>
      </c>
      <c r="E179" s="11" t="n">
        <v>4104</v>
      </c>
      <c r="F179" s="11" t="n">
        <v>507</v>
      </c>
    </row>
    <row r="180" customFormat="false" ht="15" hidden="false" customHeight="false" outlineLevel="0" collapsed="false">
      <c r="A180" s="10" t="s">
        <v>69</v>
      </c>
      <c r="B180" s="11" t="n">
        <v>2025</v>
      </c>
      <c r="C180" s="11" t="n">
        <v>9</v>
      </c>
      <c r="D180" s="10" t="s">
        <v>52</v>
      </c>
      <c r="E180" s="11" t="n">
        <v>4709</v>
      </c>
      <c r="F180" s="11" t="n">
        <v>605</v>
      </c>
    </row>
    <row r="181" customFormat="false" ht="15" hidden="false" customHeight="false" outlineLevel="0" collapsed="false">
      <c r="A181" s="10" t="s">
        <v>69</v>
      </c>
      <c r="B181" s="11" t="n">
        <v>2025</v>
      </c>
      <c r="C181" s="11" t="n">
        <v>10</v>
      </c>
      <c r="D181" s="10" t="s">
        <v>52</v>
      </c>
      <c r="E181" s="11" t="n">
        <v>5390</v>
      </c>
      <c r="F181" s="11" t="n">
        <v>681</v>
      </c>
    </row>
    <row r="182" customFormat="false" ht="15" hidden="false" customHeight="false" outlineLevel="0" collapsed="false">
      <c r="A182" s="10" t="s">
        <v>69</v>
      </c>
      <c r="B182" s="11" t="n">
        <v>2025</v>
      </c>
      <c r="C182" s="11" t="n">
        <v>11</v>
      </c>
      <c r="D182" s="10" t="s">
        <v>52</v>
      </c>
      <c r="E182" s="11" t="n">
        <v>6020</v>
      </c>
      <c r="F182" s="11" t="n">
        <v>630</v>
      </c>
    </row>
    <row r="183" customFormat="false" ht="15" hidden="false" customHeight="false" outlineLevel="0" collapsed="false">
      <c r="A183" s="10" t="s">
        <v>69</v>
      </c>
      <c r="B183" s="11" t="n">
        <v>2025</v>
      </c>
      <c r="C183" s="11" t="n">
        <v>12</v>
      </c>
      <c r="D183" s="10" t="s">
        <v>52</v>
      </c>
      <c r="E183" s="11" t="n">
        <v>6687</v>
      </c>
      <c r="F183" s="11" t="n">
        <v>667</v>
      </c>
    </row>
    <row r="184" customFormat="false" ht="15" hidden="false" customHeight="false" outlineLevel="0" collapsed="false">
      <c r="A184" s="10" t="s">
        <v>69</v>
      </c>
      <c r="B184" s="11" t="n">
        <v>2026</v>
      </c>
      <c r="C184" s="11" t="n">
        <v>1</v>
      </c>
      <c r="D184" s="10" t="s">
        <v>52</v>
      </c>
      <c r="E184" s="11" t="n">
        <v>1231</v>
      </c>
      <c r="F184" s="11" t="n">
        <v>1231</v>
      </c>
    </row>
    <row r="185" customFormat="false" ht="15" hidden="false" customHeight="false" outlineLevel="0" collapsed="false">
      <c r="A185" s="10" t="s">
        <v>69</v>
      </c>
      <c r="B185" s="11" t="n">
        <v>2026</v>
      </c>
      <c r="C185" s="11" t="n">
        <v>2</v>
      </c>
      <c r="D185" s="10" t="s">
        <v>52</v>
      </c>
      <c r="E185" s="11" t="n">
        <v>2366</v>
      </c>
      <c r="F185" s="11" t="n">
        <v>1135</v>
      </c>
    </row>
    <row r="186" customFormat="false" ht="15" hidden="false" customHeight="false" outlineLevel="0" collapsed="false">
      <c r="A186" s="10" t="s">
        <v>69</v>
      </c>
      <c r="B186" s="11" t="n">
        <v>2026</v>
      </c>
      <c r="C186" s="11" t="n">
        <v>3</v>
      </c>
      <c r="D186" s="10" t="s">
        <v>52</v>
      </c>
      <c r="E186" s="11" t="n">
        <v>3313</v>
      </c>
      <c r="F186" s="11" t="n">
        <v>947</v>
      </c>
    </row>
    <row r="187" customFormat="false" ht="15" hidden="false" customHeight="false" outlineLevel="0" collapsed="false">
      <c r="A187" s="10" t="s">
        <v>69</v>
      </c>
      <c r="B187" s="11" t="n">
        <v>2026</v>
      </c>
      <c r="C187" s="11" t="n">
        <v>1</v>
      </c>
      <c r="D187" s="10" t="s">
        <v>61</v>
      </c>
      <c r="E187" s="11" t="n">
        <v>201</v>
      </c>
      <c r="F187" s="11" t="n">
        <v>201</v>
      </c>
    </row>
    <row r="188" customFormat="false" ht="15" hidden="false" customHeight="false" outlineLevel="0" collapsed="false">
      <c r="A188" s="10" t="s">
        <v>69</v>
      </c>
      <c r="B188" s="11" t="n">
        <v>2026</v>
      </c>
      <c r="C188" s="11" t="n">
        <v>2</v>
      </c>
      <c r="D188" s="10" t="s">
        <v>61</v>
      </c>
      <c r="E188" s="11" t="n">
        <v>437</v>
      </c>
      <c r="F188" s="11" t="n">
        <v>236</v>
      </c>
    </row>
    <row r="189" customFormat="false" ht="15" hidden="false" customHeight="false" outlineLevel="0" collapsed="false">
      <c r="A189" s="10" t="s">
        <v>69</v>
      </c>
      <c r="B189" s="11" t="n">
        <v>2025</v>
      </c>
      <c r="C189" s="11" t="n">
        <v>1</v>
      </c>
      <c r="D189" s="10" t="s">
        <v>96</v>
      </c>
      <c r="E189" s="11" t="n">
        <v>66</v>
      </c>
      <c r="F189" s="11" t="n">
        <v>66</v>
      </c>
    </row>
    <row r="190" customFormat="false" ht="15" hidden="false" customHeight="false" outlineLevel="0" collapsed="false">
      <c r="A190" s="10" t="s">
        <v>69</v>
      </c>
      <c r="B190" s="11" t="n">
        <v>2025</v>
      </c>
      <c r="C190" s="11" t="n">
        <v>2</v>
      </c>
      <c r="D190" s="10" t="s">
        <v>96</v>
      </c>
      <c r="E190" s="11" t="n">
        <v>113</v>
      </c>
      <c r="F190" s="11" t="n">
        <v>47</v>
      </c>
    </row>
    <row r="191" customFormat="false" ht="15" hidden="false" customHeight="false" outlineLevel="0" collapsed="false">
      <c r="A191" s="10" t="s">
        <v>69</v>
      </c>
      <c r="B191" s="11" t="n">
        <v>2025</v>
      </c>
      <c r="C191" s="11" t="n">
        <v>3</v>
      </c>
      <c r="D191" s="10" t="s">
        <v>96</v>
      </c>
      <c r="E191" s="11" t="n">
        <v>154</v>
      </c>
      <c r="F191" s="11" t="n">
        <v>41</v>
      </c>
    </row>
    <row r="192" customFormat="false" ht="15" hidden="false" customHeight="false" outlineLevel="0" collapsed="false">
      <c r="A192" s="10" t="s">
        <v>69</v>
      </c>
      <c r="B192" s="11" t="n">
        <v>2025</v>
      </c>
      <c r="C192" s="11" t="n">
        <v>10</v>
      </c>
      <c r="D192" s="10" t="s">
        <v>96</v>
      </c>
      <c r="E192" s="11" t="n">
        <v>484</v>
      </c>
      <c r="F192" s="11"/>
    </row>
    <row r="193" customFormat="false" ht="15" hidden="false" customHeight="false" outlineLevel="0" collapsed="false">
      <c r="A193" s="10" t="s">
        <v>69</v>
      </c>
      <c r="B193" s="11" t="n">
        <v>2025</v>
      </c>
      <c r="C193" s="11" t="n">
        <v>11</v>
      </c>
      <c r="D193" s="10" t="s">
        <v>96</v>
      </c>
      <c r="E193" s="11" t="n">
        <v>544</v>
      </c>
      <c r="F193" s="11" t="n">
        <v>60</v>
      </c>
    </row>
    <row r="194" customFormat="false" ht="15" hidden="false" customHeight="false" outlineLevel="0" collapsed="false">
      <c r="A194" s="10" t="s">
        <v>69</v>
      </c>
      <c r="B194" s="11" t="n">
        <v>2025</v>
      </c>
      <c r="C194" s="11" t="n">
        <v>12</v>
      </c>
      <c r="D194" s="10" t="s">
        <v>96</v>
      </c>
      <c r="E194" s="11" t="n">
        <v>591</v>
      </c>
      <c r="F194" s="11" t="n">
        <v>47</v>
      </c>
    </row>
    <row r="195" customFormat="false" ht="15" hidden="false" customHeight="false" outlineLevel="0" collapsed="false">
      <c r="A195" s="10" t="s">
        <v>69</v>
      </c>
      <c r="B195" s="11" t="n">
        <v>2026</v>
      </c>
      <c r="C195" s="11" t="n">
        <v>3</v>
      </c>
      <c r="D195" s="10" t="s">
        <v>96</v>
      </c>
      <c r="E195" s="11" t="n">
        <v>222</v>
      </c>
      <c r="F195" s="11"/>
    </row>
    <row r="196" customFormat="false" ht="15" hidden="false" customHeight="false" outlineLevel="0" collapsed="false">
      <c r="A196" s="10" t="s">
        <v>69</v>
      </c>
      <c r="B196" s="11" t="n">
        <v>2025</v>
      </c>
      <c r="C196" s="11" t="n">
        <v>1</v>
      </c>
      <c r="D196" s="10" t="s">
        <v>41</v>
      </c>
      <c r="E196" s="11" t="n">
        <v>1459</v>
      </c>
      <c r="F196" s="11" t="n">
        <v>1459</v>
      </c>
    </row>
    <row r="197" customFormat="false" ht="15" hidden="false" customHeight="false" outlineLevel="0" collapsed="false">
      <c r="A197" s="10" t="s">
        <v>69</v>
      </c>
      <c r="B197" s="11" t="n">
        <v>2025</v>
      </c>
      <c r="C197" s="11" t="n">
        <v>2</v>
      </c>
      <c r="D197" s="10" t="s">
        <v>41</v>
      </c>
      <c r="E197" s="11" t="n">
        <v>2784</v>
      </c>
      <c r="F197" s="11" t="n">
        <v>1325</v>
      </c>
    </row>
    <row r="198" customFormat="false" ht="15" hidden="false" customHeight="false" outlineLevel="0" collapsed="false">
      <c r="A198" s="10" t="s">
        <v>69</v>
      </c>
      <c r="B198" s="11" t="n">
        <v>2025</v>
      </c>
      <c r="C198" s="11" t="n">
        <v>3</v>
      </c>
      <c r="D198" s="10" t="s">
        <v>41</v>
      </c>
      <c r="E198" s="11" t="n">
        <v>4203</v>
      </c>
      <c r="F198" s="11" t="n">
        <v>1419</v>
      </c>
    </row>
    <row r="199" customFormat="false" ht="15" hidden="false" customHeight="false" outlineLevel="0" collapsed="false">
      <c r="A199" s="10" t="s">
        <v>69</v>
      </c>
      <c r="B199" s="11" t="n">
        <v>2025</v>
      </c>
      <c r="C199" s="11" t="n">
        <v>4</v>
      </c>
      <c r="D199" s="10" t="s">
        <v>41</v>
      </c>
      <c r="E199" s="11" t="n">
        <v>5471</v>
      </c>
      <c r="F199" s="11" t="n">
        <v>1268</v>
      </c>
    </row>
    <row r="200" customFormat="false" ht="15" hidden="false" customHeight="false" outlineLevel="0" collapsed="false">
      <c r="A200" s="10" t="s">
        <v>69</v>
      </c>
      <c r="B200" s="11" t="n">
        <v>2025</v>
      </c>
      <c r="C200" s="11" t="n">
        <v>5</v>
      </c>
      <c r="D200" s="10" t="s">
        <v>41</v>
      </c>
      <c r="E200" s="11" t="n">
        <v>6804</v>
      </c>
      <c r="F200" s="11" t="n">
        <v>1333</v>
      </c>
    </row>
    <row r="201" customFormat="false" ht="15" hidden="false" customHeight="false" outlineLevel="0" collapsed="false">
      <c r="A201" s="10" t="s">
        <v>69</v>
      </c>
      <c r="B201" s="11" t="n">
        <v>2025</v>
      </c>
      <c r="C201" s="11" t="n">
        <v>6</v>
      </c>
      <c r="D201" s="10" t="s">
        <v>41</v>
      </c>
      <c r="E201" s="11" t="n">
        <v>8273</v>
      </c>
      <c r="F201" s="11" t="n">
        <v>1469</v>
      </c>
    </row>
    <row r="202" customFormat="false" ht="15" hidden="false" customHeight="false" outlineLevel="0" collapsed="false">
      <c r="A202" s="10" t="s">
        <v>69</v>
      </c>
      <c r="B202" s="11" t="n">
        <v>2025</v>
      </c>
      <c r="C202" s="11" t="n">
        <v>7</v>
      </c>
      <c r="D202" s="10" t="s">
        <v>41</v>
      </c>
      <c r="E202" s="11" t="n">
        <v>9689</v>
      </c>
      <c r="F202" s="11" t="n">
        <v>1416</v>
      </c>
    </row>
    <row r="203" customFormat="false" ht="15" hidden="false" customHeight="false" outlineLevel="0" collapsed="false">
      <c r="A203" s="10" t="s">
        <v>69</v>
      </c>
      <c r="B203" s="11" t="n">
        <v>2025</v>
      </c>
      <c r="C203" s="11" t="n">
        <v>8</v>
      </c>
      <c r="D203" s="10" t="s">
        <v>41</v>
      </c>
      <c r="E203" s="11" t="n">
        <v>11255</v>
      </c>
      <c r="F203" s="11" t="n">
        <v>1566</v>
      </c>
    </row>
    <row r="204" customFormat="false" ht="15" hidden="false" customHeight="false" outlineLevel="0" collapsed="false">
      <c r="A204" s="10" t="s">
        <v>69</v>
      </c>
      <c r="B204" s="11" t="n">
        <v>2025</v>
      </c>
      <c r="C204" s="11" t="n">
        <v>9</v>
      </c>
      <c r="D204" s="10" t="s">
        <v>41</v>
      </c>
      <c r="E204" s="11" t="n">
        <v>12766</v>
      </c>
      <c r="F204" s="11" t="n">
        <v>1511</v>
      </c>
    </row>
    <row r="205" customFormat="false" ht="15" hidden="false" customHeight="false" outlineLevel="0" collapsed="false">
      <c r="A205" s="10" t="s">
        <v>69</v>
      </c>
      <c r="B205" s="11" t="n">
        <v>2025</v>
      </c>
      <c r="C205" s="11" t="n">
        <v>10</v>
      </c>
      <c r="D205" s="10" t="s">
        <v>41</v>
      </c>
      <c r="E205" s="11" t="n">
        <v>14307</v>
      </c>
      <c r="F205" s="11" t="n">
        <v>1541</v>
      </c>
    </row>
    <row r="206" customFormat="false" ht="15" hidden="false" customHeight="false" outlineLevel="0" collapsed="false">
      <c r="A206" s="10" t="s">
        <v>69</v>
      </c>
      <c r="B206" s="11" t="n">
        <v>2025</v>
      </c>
      <c r="C206" s="11" t="n">
        <v>11</v>
      </c>
      <c r="D206" s="10" t="s">
        <v>41</v>
      </c>
      <c r="E206" s="11" t="n">
        <v>15768</v>
      </c>
      <c r="F206" s="11" t="n">
        <v>1461</v>
      </c>
    </row>
    <row r="207" customFormat="false" ht="15" hidden="false" customHeight="false" outlineLevel="0" collapsed="false">
      <c r="A207" s="10" t="s">
        <v>69</v>
      </c>
      <c r="B207" s="11" t="n">
        <v>2025</v>
      </c>
      <c r="C207" s="11" t="n">
        <v>12</v>
      </c>
      <c r="D207" s="10" t="s">
        <v>41</v>
      </c>
      <c r="E207" s="11" t="n">
        <v>17486</v>
      </c>
      <c r="F207" s="11" t="n">
        <v>1718</v>
      </c>
    </row>
    <row r="208" customFormat="false" ht="15" hidden="false" customHeight="false" outlineLevel="0" collapsed="false">
      <c r="A208" s="10" t="s">
        <v>69</v>
      </c>
      <c r="B208" s="11" t="n">
        <v>2026</v>
      </c>
      <c r="C208" s="11" t="n">
        <v>1</v>
      </c>
      <c r="D208" s="10" t="s">
        <v>41</v>
      </c>
      <c r="E208" s="11" t="n">
        <v>1942</v>
      </c>
      <c r="F208" s="11" t="n">
        <v>1942</v>
      </c>
    </row>
    <row r="209" customFormat="false" ht="15" hidden="false" customHeight="false" outlineLevel="0" collapsed="false">
      <c r="A209" s="10" t="s">
        <v>69</v>
      </c>
      <c r="B209" s="11" t="n">
        <v>2026</v>
      </c>
      <c r="C209" s="11" t="n">
        <v>2</v>
      </c>
      <c r="D209" s="10" t="s">
        <v>41</v>
      </c>
      <c r="E209" s="11" t="n">
        <v>3979</v>
      </c>
      <c r="F209" s="11" t="n">
        <v>2037</v>
      </c>
    </row>
    <row r="210" customFormat="false" ht="15" hidden="false" customHeight="false" outlineLevel="0" collapsed="false">
      <c r="A210" s="10" t="s">
        <v>69</v>
      </c>
      <c r="B210" s="11" t="n">
        <v>2026</v>
      </c>
      <c r="C210" s="11" t="n">
        <v>3</v>
      </c>
      <c r="D210" s="10" t="s">
        <v>41</v>
      </c>
      <c r="E210" s="11" t="n">
        <v>5908</v>
      </c>
      <c r="F210" s="11" t="n">
        <v>1929</v>
      </c>
    </row>
    <row r="211" customFormat="false" ht="15" hidden="false" customHeight="false" outlineLevel="0" collapsed="false">
      <c r="A211" s="10" t="s">
        <v>69</v>
      </c>
      <c r="B211" s="11" t="n">
        <v>2025</v>
      </c>
      <c r="C211" s="11" t="n">
        <v>2</v>
      </c>
      <c r="D211" s="10" t="s">
        <v>74</v>
      </c>
      <c r="E211" s="11" t="n">
        <v>122</v>
      </c>
      <c r="F211" s="11"/>
    </row>
    <row r="212" customFormat="false" ht="15" hidden="false" customHeight="false" outlineLevel="0" collapsed="false">
      <c r="A212" s="10" t="s">
        <v>69</v>
      </c>
      <c r="B212" s="11" t="n">
        <v>2025</v>
      </c>
      <c r="C212" s="11" t="n">
        <v>3</v>
      </c>
      <c r="D212" s="10" t="s">
        <v>74</v>
      </c>
      <c r="E212" s="11" t="n">
        <v>160</v>
      </c>
      <c r="F212" s="11" t="n">
        <v>38</v>
      </c>
    </row>
    <row r="213" customFormat="false" ht="15" hidden="false" customHeight="false" outlineLevel="0" collapsed="false">
      <c r="A213" s="10" t="s">
        <v>69</v>
      </c>
      <c r="B213" s="11" t="n">
        <v>2025</v>
      </c>
      <c r="C213" s="11" t="n">
        <v>4</v>
      </c>
      <c r="D213" s="10" t="s">
        <v>74</v>
      </c>
      <c r="E213" s="11" t="n">
        <v>187</v>
      </c>
      <c r="F213" s="11" t="n">
        <v>27</v>
      </c>
    </row>
    <row r="214" customFormat="false" ht="15" hidden="false" customHeight="false" outlineLevel="0" collapsed="false">
      <c r="A214" s="10" t="s">
        <v>69</v>
      </c>
      <c r="B214" s="11" t="n">
        <v>2025</v>
      </c>
      <c r="C214" s="11" t="n">
        <v>5</v>
      </c>
      <c r="D214" s="10" t="s">
        <v>74</v>
      </c>
      <c r="E214" s="11" t="n">
        <v>264</v>
      </c>
      <c r="F214" s="11" t="n">
        <v>77</v>
      </c>
    </row>
    <row r="215" customFormat="false" ht="15" hidden="false" customHeight="false" outlineLevel="0" collapsed="false">
      <c r="A215" s="10" t="s">
        <v>69</v>
      </c>
      <c r="B215" s="11" t="n">
        <v>2025</v>
      </c>
      <c r="C215" s="11" t="n">
        <v>6</v>
      </c>
      <c r="D215" s="10" t="s">
        <v>74</v>
      </c>
      <c r="E215" s="11" t="n">
        <v>308</v>
      </c>
      <c r="F215" s="11" t="n">
        <v>44</v>
      </c>
    </row>
    <row r="216" customFormat="false" ht="15" hidden="false" customHeight="false" outlineLevel="0" collapsed="false">
      <c r="A216" s="10" t="s">
        <v>69</v>
      </c>
      <c r="B216" s="11" t="n">
        <v>2025</v>
      </c>
      <c r="C216" s="11" t="n">
        <v>7</v>
      </c>
      <c r="D216" s="10" t="s">
        <v>74</v>
      </c>
      <c r="E216" s="11" t="n">
        <v>334</v>
      </c>
      <c r="F216" s="11" t="n">
        <v>26</v>
      </c>
    </row>
    <row r="217" customFormat="false" ht="15" hidden="false" customHeight="false" outlineLevel="0" collapsed="false">
      <c r="A217" s="10" t="s">
        <v>69</v>
      </c>
      <c r="B217" s="11" t="n">
        <v>2025</v>
      </c>
      <c r="C217" s="11" t="n">
        <v>8</v>
      </c>
      <c r="D217" s="10" t="s">
        <v>74</v>
      </c>
      <c r="E217" s="11" t="n">
        <v>381</v>
      </c>
      <c r="F217" s="11" t="n">
        <v>47</v>
      </c>
    </row>
    <row r="218" customFormat="false" ht="15" hidden="false" customHeight="false" outlineLevel="0" collapsed="false">
      <c r="A218" s="10" t="s">
        <v>69</v>
      </c>
      <c r="B218" s="11" t="n">
        <v>2025</v>
      </c>
      <c r="C218" s="11" t="n">
        <v>10</v>
      </c>
      <c r="D218" s="10" t="s">
        <v>74</v>
      </c>
      <c r="E218" s="11" t="n">
        <v>475</v>
      </c>
      <c r="F218" s="11"/>
    </row>
    <row r="219" customFormat="false" ht="15" hidden="false" customHeight="false" outlineLevel="0" collapsed="false">
      <c r="A219" s="10" t="s">
        <v>69</v>
      </c>
      <c r="B219" s="11" t="n">
        <v>2026</v>
      </c>
      <c r="C219" s="11" t="n">
        <v>1</v>
      </c>
      <c r="D219" s="10" t="s">
        <v>74</v>
      </c>
      <c r="E219" s="11" t="n">
        <v>83</v>
      </c>
      <c r="F219" s="11" t="n">
        <v>83</v>
      </c>
    </row>
    <row r="220" customFormat="false" ht="15" hidden="false" customHeight="false" outlineLevel="0" collapsed="false">
      <c r="A220" s="10" t="s">
        <v>69</v>
      </c>
      <c r="B220" s="11" t="n">
        <v>2026</v>
      </c>
      <c r="C220" s="11" t="n">
        <v>3</v>
      </c>
      <c r="D220" s="10" t="s">
        <v>74</v>
      </c>
      <c r="E220" s="11" t="n">
        <v>261</v>
      </c>
      <c r="F220" s="11"/>
    </row>
    <row r="221" customFormat="false" ht="15" hidden="false" customHeight="false" outlineLevel="0" collapsed="false">
      <c r="A221" s="10" t="s">
        <v>69</v>
      </c>
      <c r="B221" s="11" t="n">
        <v>2026</v>
      </c>
      <c r="C221" s="11" t="n">
        <v>2</v>
      </c>
      <c r="D221" s="10" t="s">
        <v>106</v>
      </c>
      <c r="E221" s="11" t="n">
        <v>199</v>
      </c>
      <c r="F221" s="11"/>
    </row>
    <row r="222" customFormat="false" ht="15" hidden="false" customHeight="false" outlineLevel="0" collapsed="false">
      <c r="A222" s="10" t="s">
        <v>69</v>
      </c>
      <c r="B222" s="11" t="n">
        <v>2025</v>
      </c>
      <c r="C222" s="11" t="n">
        <v>2</v>
      </c>
      <c r="D222" s="10" t="s">
        <v>107</v>
      </c>
      <c r="E222" s="11" t="n">
        <v>148</v>
      </c>
      <c r="F222" s="11"/>
    </row>
    <row r="223" customFormat="false" ht="15" hidden="false" customHeight="false" outlineLevel="0" collapsed="false">
      <c r="A223" s="10" t="s">
        <v>69</v>
      </c>
      <c r="B223" s="11" t="n">
        <v>2025</v>
      </c>
      <c r="C223" s="11" t="n">
        <v>3</v>
      </c>
      <c r="D223" s="10" t="s">
        <v>107</v>
      </c>
      <c r="E223" s="11" t="n">
        <v>235</v>
      </c>
      <c r="F223" s="11" t="n">
        <v>87</v>
      </c>
    </row>
    <row r="224" customFormat="false" ht="15" hidden="false" customHeight="false" outlineLevel="0" collapsed="false">
      <c r="A224" s="10" t="s">
        <v>69</v>
      </c>
      <c r="B224" s="11" t="n">
        <v>2025</v>
      </c>
      <c r="C224" s="11" t="n">
        <v>4</v>
      </c>
      <c r="D224" s="10" t="s">
        <v>107</v>
      </c>
      <c r="E224" s="11" t="n">
        <v>364</v>
      </c>
      <c r="F224" s="11" t="n">
        <v>129</v>
      </c>
    </row>
    <row r="225" customFormat="false" ht="15" hidden="false" customHeight="false" outlineLevel="0" collapsed="false">
      <c r="A225" s="10" t="s">
        <v>69</v>
      </c>
      <c r="B225" s="11" t="n">
        <v>2025</v>
      </c>
      <c r="C225" s="11" t="n">
        <v>5</v>
      </c>
      <c r="D225" s="10" t="s">
        <v>107</v>
      </c>
      <c r="E225" s="11" t="n">
        <v>450</v>
      </c>
      <c r="F225" s="11" t="n">
        <v>86</v>
      </c>
    </row>
    <row r="226" customFormat="false" ht="15" hidden="false" customHeight="false" outlineLevel="0" collapsed="false">
      <c r="A226" s="10" t="s">
        <v>69</v>
      </c>
      <c r="B226" s="11" t="n">
        <v>2025</v>
      </c>
      <c r="C226" s="11" t="n">
        <v>6</v>
      </c>
      <c r="D226" s="10" t="s">
        <v>107</v>
      </c>
      <c r="E226" s="11" t="n">
        <v>537</v>
      </c>
      <c r="F226" s="11" t="n">
        <v>87</v>
      </c>
    </row>
    <row r="227" customFormat="false" ht="15" hidden="false" customHeight="false" outlineLevel="0" collapsed="false">
      <c r="A227" s="10" t="s">
        <v>69</v>
      </c>
      <c r="B227" s="11" t="n">
        <v>2025</v>
      </c>
      <c r="C227" s="11" t="n">
        <v>7</v>
      </c>
      <c r="D227" s="10" t="s">
        <v>107</v>
      </c>
      <c r="E227" s="11" t="n">
        <v>614</v>
      </c>
      <c r="F227" s="11" t="n">
        <v>77</v>
      </c>
    </row>
    <row r="228" customFormat="false" ht="15" hidden="false" customHeight="false" outlineLevel="0" collapsed="false">
      <c r="A228" s="10" t="s">
        <v>69</v>
      </c>
      <c r="B228" s="11" t="n">
        <v>2025</v>
      </c>
      <c r="C228" s="11" t="n">
        <v>8</v>
      </c>
      <c r="D228" s="10" t="s">
        <v>107</v>
      </c>
      <c r="E228" s="11" t="n">
        <v>697</v>
      </c>
      <c r="F228" s="11" t="n">
        <v>83</v>
      </c>
    </row>
    <row r="229" customFormat="false" ht="15" hidden="false" customHeight="false" outlineLevel="0" collapsed="false">
      <c r="A229" s="10" t="s">
        <v>69</v>
      </c>
      <c r="B229" s="11" t="n">
        <v>2025</v>
      </c>
      <c r="C229" s="11" t="n">
        <v>9</v>
      </c>
      <c r="D229" s="10" t="s">
        <v>107</v>
      </c>
      <c r="E229" s="11" t="n">
        <v>724</v>
      </c>
      <c r="F229" s="11" t="n">
        <v>27</v>
      </c>
    </row>
    <row r="230" customFormat="false" ht="15" hidden="false" customHeight="false" outlineLevel="0" collapsed="false">
      <c r="A230" s="10" t="s">
        <v>69</v>
      </c>
      <c r="B230" s="11" t="n">
        <v>2025</v>
      </c>
      <c r="C230" s="11" t="n">
        <v>10</v>
      </c>
      <c r="D230" s="10" t="s">
        <v>107</v>
      </c>
      <c r="E230" s="11" t="n">
        <v>737</v>
      </c>
      <c r="F230" s="11" t="n">
        <v>13</v>
      </c>
    </row>
    <row r="231" customFormat="false" ht="15" hidden="false" customHeight="false" outlineLevel="0" collapsed="false">
      <c r="A231" s="10" t="s">
        <v>69</v>
      </c>
      <c r="B231" s="11" t="n">
        <v>2025</v>
      </c>
      <c r="C231" s="11" t="n">
        <v>11</v>
      </c>
      <c r="D231" s="10" t="s">
        <v>107</v>
      </c>
      <c r="E231" s="11" t="n">
        <v>741</v>
      </c>
      <c r="F231" s="11" t="n">
        <v>4</v>
      </c>
    </row>
    <row r="232" customFormat="false" ht="15" hidden="false" customHeight="false" outlineLevel="0" collapsed="false">
      <c r="A232" s="10" t="s">
        <v>69</v>
      </c>
      <c r="B232" s="11" t="n">
        <v>2025</v>
      </c>
      <c r="C232" s="11" t="n">
        <v>12</v>
      </c>
      <c r="D232" s="10" t="s">
        <v>107</v>
      </c>
      <c r="E232" s="11" t="n">
        <v>743</v>
      </c>
      <c r="F232" s="11" t="n">
        <v>2</v>
      </c>
    </row>
    <row r="233" customFormat="false" ht="15" hidden="false" customHeight="false" outlineLevel="0" collapsed="false">
      <c r="A233" s="10" t="s">
        <v>69</v>
      </c>
      <c r="B233" s="11" t="n">
        <v>2025</v>
      </c>
      <c r="C233" s="11" t="n">
        <v>1</v>
      </c>
      <c r="D233" s="10" t="s">
        <v>49</v>
      </c>
      <c r="E233" s="11" t="n">
        <v>42</v>
      </c>
      <c r="F233" s="11" t="n">
        <v>42</v>
      </c>
    </row>
    <row r="234" customFormat="false" ht="15" hidden="false" customHeight="false" outlineLevel="0" collapsed="false">
      <c r="A234" s="10" t="s">
        <v>69</v>
      </c>
      <c r="B234" s="11" t="n">
        <v>2025</v>
      </c>
      <c r="C234" s="11" t="n">
        <v>1</v>
      </c>
      <c r="D234" s="10" t="s">
        <v>47</v>
      </c>
      <c r="E234" s="11" t="n">
        <v>382</v>
      </c>
      <c r="F234" s="11" t="n">
        <v>382</v>
      </c>
    </row>
    <row r="235" customFormat="false" ht="15" hidden="false" customHeight="false" outlineLevel="0" collapsed="false">
      <c r="A235" s="10" t="s">
        <v>69</v>
      </c>
      <c r="B235" s="11" t="n">
        <v>2025</v>
      </c>
      <c r="C235" s="11" t="n">
        <v>2</v>
      </c>
      <c r="D235" s="10" t="s">
        <v>47</v>
      </c>
      <c r="E235" s="11" t="n">
        <v>679</v>
      </c>
      <c r="F235" s="11" t="n">
        <v>297</v>
      </c>
    </row>
    <row r="236" customFormat="false" ht="15" hidden="false" customHeight="false" outlineLevel="0" collapsed="false">
      <c r="A236" s="10" t="s">
        <v>69</v>
      </c>
      <c r="B236" s="11" t="n">
        <v>2025</v>
      </c>
      <c r="C236" s="11" t="n">
        <v>3</v>
      </c>
      <c r="D236" s="10" t="s">
        <v>47</v>
      </c>
      <c r="E236" s="11" t="n">
        <v>1008</v>
      </c>
      <c r="F236" s="11" t="n">
        <v>329</v>
      </c>
    </row>
    <row r="237" customFormat="false" ht="15" hidden="false" customHeight="false" outlineLevel="0" collapsed="false">
      <c r="A237" s="10" t="s">
        <v>69</v>
      </c>
      <c r="B237" s="11" t="n">
        <v>2025</v>
      </c>
      <c r="C237" s="11" t="n">
        <v>4</v>
      </c>
      <c r="D237" s="10" t="s">
        <v>47</v>
      </c>
      <c r="E237" s="11" t="n">
        <v>1263</v>
      </c>
      <c r="F237" s="11" t="n">
        <v>255</v>
      </c>
    </row>
    <row r="238" customFormat="false" ht="15" hidden="false" customHeight="false" outlineLevel="0" collapsed="false">
      <c r="A238" s="10" t="s">
        <v>69</v>
      </c>
      <c r="B238" s="11" t="n">
        <v>2025</v>
      </c>
      <c r="C238" s="11" t="n">
        <v>5</v>
      </c>
      <c r="D238" s="10" t="s">
        <v>47</v>
      </c>
      <c r="E238" s="11" t="n">
        <v>1482</v>
      </c>
      <c r="F238" s="11" t="n">
        <v>219</v>
      </c>
    </row>
    <row r="239" customFormat="false" ht="15" hidden="false" customHeight="false" outlineLevel="0" collapsed="false">
      <c r="A239" s="10" t="s">
        <v>69</v>
      </c>
      <c r="B239" s="11" t="n">
        <v>2025</v>
      </c>
      <c r="C239" s="11" t="n">
        <v>6</v>
      </c>
      <c r="D239" s="10" t="s">
        <v>47</v>
      </c>
      <c r="E239" s="11" t="n">
        <v>1692</v>
      </c>
      <c r="F239" s="11" t="n">
        <v>210</v>
      </c>
    </row>
    <row r="240" customFormat="false" ht="15" hidden="false" customHeight="false" outlineLevel="0" collapsed="false">
      <c r="A240" s="10" t="s">
        <v>69</v>
      </c>
      <c r="B240" s="11" t="n">
        <v>2025</v>
      </c>
      <c r="C240" s="11" t="n">
        <v>7</v>
      </c>
      <c r="D240" s="10" t="s">
        <v>47</v>
      </c>
      <c r="E240" s="11" t="n">
        <v>2128</v>
      </c>
      <c r="F240" s="11" t="n">
        <v>436</v>
      </c>
    </row>
    <row r="241" customFormat="false" ht="15" hidden="false" customHeight="false" outlineLevel="0" collapsed="false">
      <c r="A241" s="10" t="s">
        <v>69</v>
      </c>
      <c r="B241" s="11" t="n">
        <v>2025</v>
      </c>
      <c r="C241" s="11" t="n">
        <v>8</v>
      </c>
      <c r="D241" s="10" t="s">
        <v>47</v>
      </c>
      <c r="E241" s="11" t="n">
        <v>2372</v>
      </c>
      <c r="F241" s="11" t="n">
        <v>244</v>
      </c>
    </row>
    <row r="242" customFormat="false" ht="15" hidden="false" customHeight="false" outlineLevel="0" collapsed="false">
      <c r="A242" s="10" t="s">
        <v>69</v>
      </c>
      <c r="B242" s="11" t="n">
        <v>2025</v>
      </c>
      <c r="C242" s="11" t="n">
        <v>9</v>
      </c>
      <c r="D242" s="10" t="s">
        <v>47</v>
      </c>
      <c r="E242" s="11" t="n">
        <v>2676</v>
      </c>
      <c r="F242" s="11" t="n">
        <v>304</v>
      </c>
    </row>
    <row r="243" customFormat="false" ht="15" hidden="false" customHeight="false" outlineLevel="0" collapsed="false">
      <c r="A243" s="10" t="s">
        <v>69</v>
      </c>
      <c r="B243" s="11" t="n">
        <v>2025</v>
      </c>
      <c r="C243" s="11" t="n">
        <v>10</v>
      </c>
      <c r="D243" s="10" t="s">
        <v>47</v>
      </c>
      <c r="E243" s="11" t="n">
        <v>2929</v>
      </c>
      <c r="F243" s="11" t="n">
        <v>253</v>
      </c>
    </row>
    <row r="244" customFormat="false" ht="15" hidden="false" customHeight="false" outlineLevel="0" collapsed="false">
      <c r="A244" s="10" t="s">
        <v>69</v>
      </c>
      <c r="B244" s="11" t="n">
        <v>2025</v>
      </c>
      <c r="C244" s="11" t="n">
        <v>11</v>
      </c>
      <c r="D244" s="10" t="s">
        <v>47</v>
      </c>
      <c r="E244" s="11" t="n">
        <v>3154</v>
      </c>
      <c r="F244" s="11" t="n">
        <v>225</v>
      </c>
    </row>
    <row r="245" customFormat="false" ht="15" hidden="false" customHeight="false" outlineLevel="0" collapsed="false">
      <c r="A245" s="10" t="s">
        <v>69</v>
      </c>
      <c r="B245" s="11" t="n">
        <v>2025</v>
      </c>
      <c r="C245" s="11" t="n">
        <v>12</v>
      </c>
      <c r="D245" s="10" t="s">
        <v>47</v>
      </c>
      <c r="E245" s="11" t="n">
        <v>3376</v>
      </c>
      <c r="F245" s="11" t="n">
        <v>222</v>
      </c>
    </row>
    <row r="246" customFormat="false" ht="15" hidden="false" customHeight="false" outlineLevel="0" collapsed="false">
      <c r="A246" s="10" t="s">
        <v>69</v>
      </c>
      <c r="B246" s="11" t="n">
        <v>2026</v>
      </c>
      <c r="C246" s="11" t="n">
        <v>1</v>
      </c>
      <c r="D246" s="10" t="s">
        <v>47</v>
      </c>
      <c r="E246" s="11" t="n">
        <v>451</v>
      </c>
      <c r="F246" s="11" t="n">
        <v>451</v>
      </c>
    </row>
    <row r="247" customFormat="false" ht="15" hidden="false" customHeight="false" outlineLevel="0" collapsed="false">
      <c r="A247" s="10" t="s">
        <v>69</v>
      </c>
      <c r="B247" s="11" t="n">
        <v>2026</v>
      </c>
      <c r="C247" s="11" t="n">
        <v>2</v>
      </c>
      <c r="D247" s="10" t="s">
        <v>47</v>
      </c>
      <c r="E247" s="11" t="n">
        <v>816</v>
      </c>
      <c r="F247" s="11" t="n">
        <v>365</v>
      </c>
    </row>
    <row r="248" customFormat="false" ht="15" hidden="false" customHeight="false" outlineLevel="0" collapsed="false">
      <c r="A248" s="10" t="s">
        <v>69</v>
      </c>
      <c r="B248" s="11" t="n">
        <v>2026</v>
      </c>
      <c r="C248" s="11" t="n">
        <v>3</v>
      </c>
      <c r="D248" s="10" t="s">
        <v>47</v>
      </c>
      <c r="E248" s="11" t="n">
        <v>1172</v>
      </c>
      <c r="F248" s="11" t="n">
        <v>356</v>
      </c>
    </row>
    <row r="249" customFormat="false" ht="15" hidden="false" customHeight="false" outlineLevel="0" collapsed="false">
      <c r="A249" s="10" t="s">
        <v>69</v>
      </c>
      <c r="B249" s="11" t="n">
        <v>2025</v>
      </c>
      <c r="C249" s="11" t="n">
        <v>1</v>
      </c>
      <c r="D249" s="10" t="s">
        <v>62</v>
      </c>
      <c r="E249" s="11" t="n">
        <v>427</v>
      </c>
      <c r="F249" s="11" t="n">
        <v>427</v>
      </c>
    </row>
    <row r="250" customFormat="false" ht="15" hidden="false" customHeight="false" outlineLevel="0" collapsed="false">
      <c r="A250" s="10" t="s">
        <v>69</v>
      </c>
      <c r="B250" s="11" t="n">
        <v>2025</v>
      </c>
      <c r="C250" s="11" t="n">
        <v>2</v>
      </c>
      <c r="D250" s="10" t="s">
        <v>62</v>
      </c>
      <c r="E250" s="11" t="n">
        <v>592</v>
      </c>
      <c r="F250" s="11" t="n">
        <v>165</v>
      </c>
    </row>
    <row r="251" customFormat="false" ht="15" hidden="false" customHeight="false" outlineLevel="0" collapsed="false">
      <c r="A251" s="10" t="s">
        <v>69</v>
      </c>
      <c r="B251" s="11" t="n">
        <v>2025</v>
      </c>
      <c r="C251" s="11" t="n">
        <v>3</v>
      </c>
      <c r="D251" s="10" t="s">
        <v>62</v>
      </c>
      <c r="E251" s="11" t="n">
        <v>774</v>
      </c>
      <c r="F251" s="11" t="n">
        <v>182</v>
      </c>
    </row>
    <row r="252" customFormat="false" ht="15" hidden="false" customHeight="false" outlineLevel="0" collapsed="false">
      <c r="A252" s="10" t="s">
        <v>69</v>
      </c>
      <c r="B252" s="11" t="n">
        <v>2025</v>
      </c>
      <c r="C252" s="11" t="n">
        <v>4</v>
      </c>
      <c r="D252" s="10" t="s">
        <v>62</v>
      </c>
      <c r="E252" s="11" t="n">
        <v>925</v>
      </c>
      <c r="F252" s="11" t="n">
        <v>151</v>
      </c>
    </row>
    <row r="253" customFormat="false" ht="15" hidden="false" customHeight="false" outlineLevel="0" collapsed="false">
      <c r="A253" s="10" t="s">
        <v>69</v>
      </c>
      <c r="B253" s="11" t="n">
        <v>2025</v>
      </c>
      <c r="C253" s="11" t="n">
        <v>5</v>
      </c>
      <c r="D253" s="10" t="s">
        <v>62</v>
      </c>
      <c r="E253" s="11" t="n">
        <v>1054</v>
      </c>
      <c r="F253" s="11" t="n">
        <v>129</v>
      </c>
    </row>
    <row r="254" customFormat="false" ht="15" hidden="false" customHeight="false" outlineLevel="0" collapsed="false">
      <c r="A254" s="10" t="s">
        <v>69</v>
      </c>
      <c r="B254" s="11" t="n">
        <v>2025</v>
      </c>
      <c r="C254" s="11" t="n">
        <v>6</v>
      </c>
      <c r="D254" s="10" t="s">
        <v>62</v>
      </c>
      <c r="E254" s="11" t="n">
        <v>1229</v>
      </c>
      <c r="F254" s="11" t="n">
        <v>175</v>
      </c>
    </row>
    <row r="255" customFormat="false" ht="15" hidden="false" customHeight="false" outlineLevel="0" collapsed="false">
      <c r="A255" s="10" t="s">
        <v>69</v>
      </c>
      <c r="B255" s="11" t="n">
        <v>2025</v>
      </c>
      <c r="C255" s="11" t="n">
        <v>7</v>
      </c>
      <c r="D255" s="10" t="s">
        <v>62</v>
      </c>
      <c r="E255" s="11" t="n">
        <v>1335</v>
      </c>
      <c r="F255" s="11" t="n">
        <v>106</v>
      </c>
    </row>
    <row r="256" customFormat="false" ht="15" hidden="false" customHeight="false" outlineLevel="0" collapsed="false">
      <c r="A256" s="10" t="s">
        <v>69</v>
      </c>
      <c r="B256" s="11" t="n">
        <v>2025</v>
      </c>
      <c r="C256" s="11" t="n">
        <v>8</v>
      </c>
      <c r="D256" s="10" t="s">
        <v>62</v>
      </c>
      <c r="E256" s="11" t="n">
        <v>1463</v>
      </c>
      <c r="F256" s="11" t="n">
        <v>128</v>
      </c>
    </row>
    <row r="257" customFormat="false" ht="15" hidden="false" customHeight="false" outlineLevel="0" collapsed="false">
      <c r="A257" s="10" t="s">
        <v>69</v>
      </c>
      <c r="B257" s="11" t="n">
        <v>2025</v>
      </c>
      <c r="C257" s="11" t="n">
        <v>9</v>
      </c>
      <c r="D257" s="10" t="s">
        <v>62</v>
      </c>
      <c r="E257" s="11" t="n">
        <v>1584</v>
      </c>
      <c r="F257" s="11" t="n">
        <v>121</v>
      </c>
    </row>
    <row r="258" customFormat="false" ht="15" hidden="false" customHeight="false" outlineLevel="0" collapsed="false">
      <c r="A258" s="10" t="s">
        <v>69</v>
      </c>
      <c r="B258" s="11" t="n">
        <v>2025</v>
      </c>
      <c r="C258" s="11" t="n">
        <v>10</v>
      </c>
      <c r="D258" s="10" t="s">
        <v>62</v>
      </c>
      <c r="E258" s="11" t="n">
        <v>1702</v>
      </c>
      <c r="F258" s="11" t="n">
        <v>118</v>
      </c>
    </row>
    <row r="259" customFormat="false" ht="15" hidden="false" customHeight="false" outlineLevel="0" collapsed="false">
      <c r="A259" s="10" t="s">
        <v>69</v>
      </c>
      <c r="B259" s="11" t="n">
        <v>2025</v>
      </c>
      <c r="C259" s="11" t="n">
        <v>11</v>
      </c>
      <c r="D259" s="10" t="s">
        <v>62</v>
      </c>
      <c r="E259" s="11" t="n">
        <v>1822</v>
      </c>
      <c r="F259" s="11" t="n">
        <v>120</v>
      </c>
    </row>
    <row r="260" customFormat="false" ht="15" hidden="false" customHeight="false" outlineLevel="0" collapsed="false">
      <c r="A260" s="10" t="s">
        <v>69</v>
      </c>
      <c r="B260" s="11" t="n">
        <v>2025</v>
      </c>
      <c r="C260" s="11" t="n">
        <v>12</v>
      </c>
      <c r="D260" s="10" t="s">
        <v>62</v>
      </c>
      <c r="E260" s="11" t="n">
        <v>1916</v>
      </c>
      <c r="F260" s="11" t="n">
        <v>94</v>
      </c>
    </row>
    <row r="261" customFormat="false" ht="15" hidden="false" customHeight="false" outlineLevel="0" collapsed="false">
      <c r="A261" s="10" t="s">
        <v>69</v>
      </c>
      <c r="B261" s="11" t="n">
        <v>2026</v>
      </c>
      <c r="C261" s="11" t="n">
        <v>1</v>
      </c>
      <c r="D261" s="10" t="s">
        <v>62</v>
      </c>
      <c r="E261" s="11" t="n">
        <v>52</v>
      </c>
      <c r="F261" s="11" t="n">
        <v>52</v>
      </c>
    </row>
    <row r="262" customFormat="false" ht="15" hidden="false" customHeight="false" outlineLevel="0" collapsed="false">
      <c r="A262" s="10" t="s">
        <v>69</v>
      </c>
      <c r="B262" s="11" t="n">
        <v>2026</v>
      </c>
      <c r="C262" s="11" t="n">
        <v>2</v>
      </c>
      <c r="D262" s="10" t="s">
        <v>62</v>
      </c>
      <c r="E262" s="11" t="n">
        <v>103</v>
      </c>
      <c r="F262" s="11" t="n">
        <v>51</v>
      </c>
    </row>
    <row r="263" customFormat="false" ht="15" hidden="false" customHeight="false" outlineLevel="0" collapsed="false">
      <c r="A263" s="10" t="s">
        <v>69</v>
      </c>
      <c r="B263" s="11" t="n">
        <v>2026</v>
      </c>
      <c r="C263" s="11" t="n">
        <v>3</v>
      </c>
      <c r="D263" s="10" t="s">
        <v>62</v>
      </c>
      <c r="E263" s="11" t="n">
        <v>174</v>
      </c>
      <c r="F263" s="11" t="n">
        <v>71</v>
      </c>
    </row>
    <row r="264" customFormat="false" ht="15" hidden="false" customHeight="false" outlineLevel="0" collapsed="false">
      <c r="A264" s="10" t="s">
        <v>69</v>
      </c>
      <c r="B264" s="11" t="n">
        <v>2025</v>
      </c>
      <c r="C264" s="11" t="n">
        <v>2</v>
      </c>
      <c r="D264" s="10" t="s">
        <v>72</v>
      </c>
      <c r="E264" s="11" t="n">
        <v>70</v>
      </c>
      <c r="F264" s="11"/>
    </row>
    <row r="265" customFormat="false" ht="15" hidden="false" customHeight="false" outlineLevel="0" collapsed="false">
      <c r="A265" s="10" t="s">
        <v>69</v>
      </c>
      <c r="B265" s="11" t="n">
        <v>2025</v>
      </c>
      <c r="C265" s="11" t="n">
        <v>3</v>
      </c>
      <c r="D265" s="10" t="s">
        <v>72</v>
      </c>
      <c r="E265" s="11" t="n">
        <v>109</v>
      </c>
      <c r="F265" s="11" t="n">
        <v>39</v>
      </c>
    </row>
    <row r="266" customFormat="false" ht="15" hidden="false" customHeight="false" outlineLevel="0" collapsed="false">
      <c r="A266" s="10" t="s">
        <v>69</v>
      </c>
      <c r="B266" s="11" t="n">
        <v>2025</v>
      </c>
      <c r="C266" s="11" t="n">
        <v>7</v>
      </c>
      <c r="D266" s="10" t="s">
        <v>72</v>
      </c>
      <c r="E266" s="11" t="n">
        <v>347</v>
      </c>
      <c r="F266" s="11"/>
    </row>
    <row r="267" customFormat="false" ht="15" hidden="false" customHeight="false" outlineLevel="0" collapsed="false">
      <c r="A267" s="10" t="s">
        <v>69</v>
      </c>
      <c r="B267" s="11" t="n">
        <v>2025</v>
      </c>
      <c r="C267" s="11" t="n">
        <v>8</v>
      </c>
      <c r="D267" s="10" t="s">
        <v>72</v>
      </c>
      <c r="E267" s="11" t="n">
        <v>402</v>
      </c>
      <c r="F267" s="11" t="n">
        <v>55</v>
      </c>
    </row>
    <row r="268" customFormat="false" ht="15" hidden="false" customHeight="false" outlineLevel="0" collapsed="false">
      <c r="A268" s="10" t="s">
        <v>69</v>
      </c>
      <c r="B268" s="11" t="n">
        <v>2025</v>
      </c>
      <c r="C268" s="11" t="n">
        <v>9</v>
      </c>
      <c r="D268" s="10" t="s">
        <v>72</v>
      </c>
      <c r="E268" s="11" t="n">
        <v>456</v>
      </c>
      <c r="F268" s="11" t="n">
        <v>54</v>
      </c>
    </row>
    <row r="269" customFormat="false" ht="15" hidden="false" customHeight="false" outlineLevel="0" collapsed="false">
      <c r="A269" s="10" t="s">
        <v>69</v>
      </c>
      <c r="B269" s="11" t="n">
        <v>2025</v>
      </c>
      <c r="C269" s="11" t="n">
        <v>10</v>
      </c>
      <c r="D269" s="10" t="s">
        <v>72</v>
      </c>
      <c r="E269" s="11" t="n">
        <v>530</v>
      </c>
      <c r="F269" s="11" t="n">
        <v>74</v>
      </c>
    </row>
    <row r="270" customFormat="false" ht="15" hidden="false" customHeight="false" outlineLevel="0" collapsed="false">
      <c r="A270" s="10" t="s">
        <v>69</v>
      </c>
      <c r="B270" s="11" t="n">
        <v>2025</v>
      </c>
      <c r="C270" s="11" t="n">
        <v>11</v>
      </c>
      <c r="D270" s="10" t="s">
        <v>72</v>
      </c>
      <c r="E270" s="11" t="n">
        <v>587</v>
      </c>
      <c r="F270" s="11" t="n">
        <v>57</v>
      </c>
    </row>
    <row r="271" customFormat="false" ht="15" hidden="false" customHeight="false" outlineLevel="0" collapsed="false">
      <c r="A271" s="10" t="s">
        <v>69</v>
      </c>
      <c r="B271" s="11" t="n">
        <v>2025</v>
      </c>
      <c r="C271" s="11" t="n">
        <v>12</v>
      </c>
      <c r="D271" s="10" t="s">
        <v>72</v>
      </c>
      <c r="E271" s="11" t="n">
        <v>630</v>
      </c>
      <c r="F271" s="11" t="n">
        <v>43</v>
      </c>
    </row>
    <row r="272" customFormat="false" ht="15" hidden="false" customHeight="false" outlineLevel="0" collapsed="false">
      <c r="A272" s="10" t="s">
        <v>69</v>
      </c>
      <c r="B272" s="11" t="n">
        <v>2026</v>
      </c>
      <c r="C272" s="11" t="n">
        <v>1</v>
      </c>
      <c r="D272" s="10" t="s">
        <v>72</v>
      </c>
      <c r="E272" s="11" t="n">
        <v>37</v>
      </c>
      <c r="F272" s="11" t="n">
        <v>37</v>
      </c>
    </row>
    <row r="273" customFormat="false" ht="15" hidden="false" customHeight="false" outlineLevel="0" collapsed="false">
      <c r="A273" s="10" t="s">
        <v>69</v>
      </c>
      <c r="B273" s="11" t="n">
        <v>2026</v>
      </c>
      <c r="C273" s="11" t="n">
        <v>2</v>
      </c>
      <c r="D273" s="10" t="s">
        <v>72</v>
      </c>
      <c r="E273" s="11" t="n">
        <v>68</v>
      </c>
      <c r="F273" s="11" t="n">
        <v>31</v>
      </c>
    </row>
    <row r="274" customFormat="false" ht="15" hidden="false" customHeight="false" outlineLevel="0" collapsed="false">
      <c r="A274" s="10" t="s">
        <v>69</v>
      </c>
      <c r="B274" s="11" t="n">
        <v>2026</v>
      </c>
      <c r="C274" s="11" t="n">
        <v>3</v>
      </c>
      <c r="D274" s="10" t="s">
        <v>72</v>
      </c>
      <c r="E274" s="11" t="n">
        <v>100</v>
      </c>
      <c r="F274" s="11" t="n">
        <v>32</v>
      </c>
    </row>
    <row r="275" customFormat="false" ht="15" hidden="false" customHeight="false" outlineLevel="0" collapsed="false">
      <c r="A275" s="10" t="s">
        <v>69</v>
      </c>
      <c r="B275" s="11" t="n">
        <v>2025</v>
      </c>
      <c r="C275" s="11" t="n">
        <v>1</v>
      </c>
      <c r="D275" s="10" t="s">
        <v>73</v>
      </c>
      <c r="E275" s="11" t="n">
        <v>114</v>
      </c>
      <c r="F275" s="11" t="n">
        <v>114</v>
      </c>
    </row>
    <row r="276" customFormat="false" ht="15" hidden="false" customHeight="false" outlineLevel="0" collapsed="false">
      <c r="A276" s="10" t="s">
        <v>69</v>
      </c>
      <c r="B276" s="11" t="n">
        <v>2025</v>
      </c>
      <c r="C276" s="11" t="n">
        <v>2</v>
      </c>
      <c r="D276" s="10" t="s">
        <v>73</v>
      </c>
      <c r="E276" s="11" t="n">
        <v>207</v>
      </c>
      <c r="F276" s="11" t="n">
        <v>93</v>
      </c>
    </row>
    <row r="277" customFormat="false" ht="15" hidden="false" customHeight="false" outlineLevel="0" collapsed="false">
      <c r="A277" s="10" t="s">
        <v>69</v>
      </c>
      <c r="B277" s="11" t="n">
        <v>2025</v>
      </c>
      <c r="C277" s="11" t="n">
        <v>3</v>
      </c>
      <c r="D277" s="10" t="s">
        <v>73</v>
      </c>
      <c r="E277" s="11" t="n">
        <v>295</v>
      </c>
      <c r="F277" s="11" t="n">
        <v>88</v>
      </c>
    </row>
    <row r="278" customFormat="false" ht="15" hidden="false" customHeight="false" outlineLevel="0" collapsed="false">
      <c r="A278" s="10" t="s">
        <v>69</v>
      </c>
      <c r="B278" s="11" t="n">
        <v>2025</v>
      </c>
      <c r="C278" s="11" t="n">
        <v>4</v>
      </c>
      <c r="D278" s="10" t="s">
        <v>73</v>
      </c>
      <c r="E278" s="11" t="n">
        <v>395</v>
      </c>
      <c r="F278" s="11" t="n">
        <v>100</v>
      </c>
    </row>
    <row r="279" customFormat="false" ht="15" hidden="false" customHeight="false" outlineLevel="0" collapsed="false">
      <c r="A279" s="10" t="s">
        <v>69</v>
      </c>
      <c r="B279" s="11" t="n">
        <v>2025</v>
      </c>
      <c r="C279" s="11" t="n">
        <v>5</v>
      </c>
      <c r="D279" s="10" t="s">
        <v>73</v>
      </c>
      <c r="E279" s="11" t="n">
        <v>498</v>
      </c>
      <c r="F279" s="11" t="n">
        <v>103</v>
      </c>
    </row>
    <row r="280" customFormat="false" ht="15" hidden="false" customHeight="false" outlineLevel="0" collapsed="false">
      <c r="A280" s="10" t="s">
        <v>69</v>
      </c>
      <c r="B280" s="11" t="n">
        <v>2025</v>
      </c>
      <c r="C280" s="11" t="n">
        <v>6</v>
      </c>
      <c r="D280" s="10" t="s">
        <v>73</v>
      </c>
      <c r="E280" s="11" t="n">
        <v>587</v>
      </c>
      <c r="F280" s="11" t="n">
        <v>89</v>
      </c>
    </row>
    <row r="281" customFormat="false" ht="15" hidden="false" customHeight="false" outlineLevel="0" collapsed="false">
      <c r="A281" s="10" t="s">
        <v>69</v>
      </c>
      <c r="B281" s="11" t="n">
        <v>2025</v>
      </c>
      <c r="C281" s="11" t="n">
        <v>7</v>
      </c>
      <c r="D281" s="10" t="s">
        <v>73</v>
      </c>
      <c r="E281" s="11" t="n">
        <v>675</v>
      </c>
      <c r="F281" s="11" t="n">
        <v>88</v>
      </c>
    </row>
    <row r="282" customFormat="false" ht="15" hidden="false" customHeight="false" outlineLevel="0" collapsed="false">
      <c r="A282" s="10" t="s">
        <v>69</v>
      </c>
      <c r="B282" s="11" t="n">
        <v>2025</v>
      </c>
      <c r="C282" s="11" t="n">
        <v>8</v>
      </c>
      <c r="D282" s="10" t="s">
        <v>73</v>
      </c>
      <c r="E282" s="11" t="n">
        <v>749</v>
      </c>
      <c r="F282" s="11" t="n">
        <v>74</v>
      </c>
    </row>
    <row r="283" customFormat="false" ht="15" hidden="false" customHeight="false" outlineLevel="0" collapsed="false">
      <c r="A283" s="10" t="s">
        <v>69</v>
      </c>
      <c r="B283" s="11" t="n">
        <v>2025</v>
      </c>
      <c r="C283" s="11" t="n">
        <v>9</v>
      </c>
      <c r="D283" s="10" t="s">
        <v>73</v>
      </c>
      <c r="E283" s="11" t="n">
        <v>842</v>
      </c>
      <c r="F283" s="11" t="n">
        <v>93</v>
      </c>
    </row>
    <row r="284" customFormat="false" ht="15" hidden="false" customHeight="false" outlineLevel="0" collapsed="false">
      <c r="A284" s="10" t="s">
        <v>69</v>
      </c>
      <c r="B284" s="11" t="n">
        <v>2025</v>
      </c>
      <c r="C284" s="11" t="n">
        <v>10</v>
      </c>
      <c r="D284" s="10" t="s">
        <v>73</v>
      </c>
      <c r="E284" s="11" t="n">
        <v>922</v>
      </c>
      <c r="F284" s="11" t="n">
        <v>80</v>
      </c>
    </row>
    <row r="285" customFormat="false" ht="15" hidden="false" customHeight="false" outlineLevel="0" collapsed="false">
      <c r="A285" s="10" t="s">
        <v>69</v>
      </c>
      <c r="B285" s="11" t="n">
        <v>2025</v>
      </c>
      <c r="C285" s="11" t="n">
        <v>11</v>
      </c>
      <c r="D285" s="10" t="s">
        <v>73</v>
      </c>
      <c r="E285" s="11" t="n">
        <v>1015</v>
      </c>
      <c r="F285" s="11" t="n">
        <v>93</v>
      </c>
    </row>
    <row r="286" customFormat="false" ht="15" hidden="false" customHeight="false" outlineLevel="0" collapsed="false">
      <c r="A286" s="10" t="s">
        <v>69</v>
      </c>
      <c r="B286" s="11" t="n">
        <v>2025</v>
      </c>
      <c r="C286" s="11" t="n">
        <v>12</v>
      </c>
      <c r="D286" s="10" t="s">
        <v>73</v>
      </c>
      <c r="E286" s="11" t="n">
        <v>1116</v>
      </c>
      <c r="F286" s="11" t="n">
        <v>101</v>
      </c>
    </row>
    <row r="287" customFormat="false" ht="15" hidden="false" customHeight="false" outlineLevel="0" collapsed="false">
      <c r="A287" s="10" t="s">
        <v>69</v>
      </c>
      <c r="B287" s="11" t="n">
        <v>2026</v>
      </c>
      <c r="C287" s="11" t="n">
        <v>1</v>
      </c>
      <c r="D287" s="10" t="s">
        <v>73</v>
      </c>
      <c r="E287" s="11" t="n">
        <v>121</v>
      </c>
      <c r="F287" s="11" t="n">
        <v>121</v>
      </c>
    </row>
    <row r="288" customFormat="false" ht="15" hidden="false" customHeight="false" outlineLevel="0" collapsed="false">
      <c r="A288" s="10" t="s">
        <v>69</v>
      </c>
      <c r="B288" s="11" t="n">
        <v>2026</v>
      </c>
      <c r="C288" s="11" t="n">
        <v>2</v>
      </c>
      <c r="D288" s="10" t="s">
        <v>73</v>
      </c>
      <c r="E288" s="11" t="n">
        <v>258</v>
      </c>
      <c r="F288" s="11" t="n">
        <v>137</v>
      </c>
    </row>
    <row r="289" customFormat="false" ht="15" hidden="false" customHeight="false" outlineLevel="0" collapsed="false">
      <c r="A289" s="10" t="s">
        <v>69</v>
      </c>
      <c r="B289" s="11" t="n">
        <v>2026</v>
      </c>
      <c r="C289" s="11" t="n">
        <v>3</v>
      </c>
      <c r="D289" s="10" t="s">
        <v>73</v>
      </c>
      <c r="E289" s="11" t="n">
        <v>418</v>
      </c>
      <c r="F289" s="11" t="n">
        <v>160</v>
      </c>
    </row>
    <row r="290" customFormat="false" ht="15" hidden="false" customHeight="false" outlineLevel="0" collapsed="false">
      <c r="A290" s="10" t="s">
        <v>69</v>
      </c>
      <c r="B290" s="11" t="n">
        <v>2025</v>
      </c>
      <c r="C290" s="11" t="n">
        <v>1</v>
      </c>
      <c r="D290" s="10" t="s">
        <v>39</v>
      </c>
      <c r="E290" s="11" t="n">
        <v>402</v>
      </c>
      <c r="F290" s="11" t="n">
        <v>402</v>
      </c>
    </row>
    <row r="291" customFormat="false" ht="15" hidden="false" customHeight="false" outlineLevel="0" collapsed="false">
      <c r="A291" s="10" t="s">
        <v>69</v>
      </c>
      <c r="B291" s="11" t="n">
        <v>2025</v>
      </c>
      <c r="C291" s="11" t="n">
        <v>2</v>
      </c>
      <c r="D291" s="10" t="s">
        <v>39</v>
      </c>
      <c r="E291" s="11" t="n">
        <v>710</v>
      </c>
      <c r="F291" s="11" t="n">
        <v>308</v>
      </c>
    </row>
    <row r="292" customFormat="false" ht="15" hidden="false" customHeight="false" outlineLevel="0" collapsed="false">
      <c r="A292" s="10" t="s">
        <v>69</v>
      </c>
      <c r="B292" s="11" t="n">
        <v>2025</v>
      </c>
      <c r="C292" s="11" t="n">
        <v>3</v>
      </c>
      <c r="D292" s="10" t="s">
        <v>39</v>
      </c>
      <c r="E292" s="11" t="n">
        <v>227</v>
      </c>
      <c r="F292" s="11"/>
    </row>
    <row r="293" customFormat="false" ht="15" hidden="false" customHeight="false" outlineLevel="0" collapsed="false">
      <c r="A293" s="10" t="s">
        <v>69</v>
      </c>
      <c r="B293" s="11" t="n">
        <v>2025</v>
      </c>
      <c r="C293" s="11" t="n">
        <v>4</v>
      </c>
      <c r="D293" s="10" t="s">
        <v>39</v>
      </c>
      <c r="E293" s="11" t="n">
        <v>352</v>
      </c>
      <c r="F293" s="11" t="n">
        <v>125</v>
      </c>
    </row>
    <row r="294" customFormat="false" ht="15" hidden="false" customHeight="false" outlineLevel="0" collapsed="false">
      <c r="A294" s="10" t="s">
        <v>69</v>
      </c>
      <c r="B294" s="11" t="n">
        <v>2025</v>
      </c>
      <c r="C294" s="11" t="n">
        <v>5</v>
      </c>
      <c r="D294" s="10" t="s">
        <v>39</v>
      </c>
      <c r="E294" s="11" t="n">
        <v>475</v>
      </c>
      <c r="F294" s="11" t="n">
        <v>123</v>
      </c>
    </row>
    <row r="295" customFormat="false" ht="15" hidden="false" customHeight="false" outlineLevel="0" collapsed="false">
      <c r="A295" s="10" t="s">
        <v>69</v>
      </c>
      <c r="B295" s="11" t="n">
        <v>2025</v>
      </c>
      <c r="C295" s="11" t="n">
        <v>6</v>
      </c>
      <c r="D295" s="10" t="s">
        <v>39</v>
      </c>
      <c r="E295" s="11" t="n">
        <v>612</v>
      </c>
      <c r="F295" s="11" t="n">
        <v>137</v>
      </c>
    </row>
    <row r="296" customFormat="false" ht="15" hidden="false" customHeight="false" outlineLevel="0" collapsed="false">
      <c r="A296" s="10" t="s">
        <v>69</v>
      </c>
      <c r="B296" s="11" t="n">
        <v>2025</v>
      </c>
      <c r="C296" s="11" t="n">
        <v>7</v>
      </c>
      <c r="D296" s="10" t="s">
        <v>39</v>
      </c>
      <c r="E296" s="11" t="n">
        <v>755</v>
      </c>
      <c r="F296" s="11" t="n">
        <v>143</v>
      </c>
    </row>
    <row r="297" customFormat="false" ht="15" hidden="false" customHeight="false" outlineLevel="0" collapsed="false">
      <c r="A297" s="10" t="s">
        <v>69</v>
      </c>
      <c r="B297" s="11" t="n">
        <v>2025</v>
      </c>
      <c r="C297" s="11" t="n">
        <v>8</v>
      </c>
      <c r="D297" s="10" t="s">
        <v>39</v>
      </c>
      <c r="E297" s="11" t="n">
        <v>904</v>
      </c>
      <c r="F297" s="11" t="n">
        <v>149</v>
      </c>
    </row>
    <row r="298" customFormat="false" ht="15" hidden="false" customHeight="false" outlineLevel="0" collapsed="false">
      <c r="A298" s="10" t="s">
        <v>69</v>
      </c>
      <c r="B298" s="11" t="n">
        <v>2025</v>
      </c>
      <c r="C298" s="11" t="n">
        <v>9</v>
      </c>
      <c r="D298" s="10" t="s">
        <v>39</v>
      </c>
      <c r="E298" s="11" t="n">
        <v>1019</v>
      </c>
      <c r="F298" s="11" t="n">
        <v>115</v>
      </c>
    </row>
    <row r="299" customFormat="false" ht="15" hidden="false" customHeight="false" outlineLevel="0" collapsed="false">
      <c r="A299" s="10" t="s">
        <v>69</v>
      </c>
      <c r="B299" s="11" t="n">
        <v>2025</v>
      </c>
      <c r="C299" s="11" t="n">
        <v>10</v>
      </c>
      <c r="D299" s="10" t="s">
        <v>39</v>
      </c>
      <c r="E299" s="11" t="n">
        <v>1135</v>
      </c>
      <c r="F299" s="11" t="n">
        <v>116</v>
      </c>
    </row>
    <row r="300" customFormat="false" ht="15" hidden="false" customHeight="false" outlineLevel="0" collapsed="false">
      <c r="A300" s="10" t="s">
        <v>69</v>
      </c>
      <c r="B300" s="11" t="n">
        <v>2025</v>
      </c>
      <c r="C300" s="11" t="n">
        <v>11</v>
      </c>
      <c r="D300" s="10" t="s">
        <v>39</v>
      </c>
      <c r="E300" s="11" t="n">
        <v>1233</v>
      </c>
      <c r="F300" s="11" t="n">
        <v>98</v>
      </c>
    </row>
    <row r="301" customFormat="false" ht="15" hidden="false" customHeight="false" outlineLevel="0" collapsed="false">
      <c r="A301" s="10" t="s">
        <v>69</v>
      </c>
      <c r="B301" s="11" t="n">
        <v>2025</v>
      </c>
      <c r="C301" s="11" t="n">
        <v>12</v>
      </c>
      <c r="D301" s="10" t="s">
        <v>39</v>
      </c>
      <c r="E301" s="11" t="n">
        <v>1431</v>
      </c>
      <c r="F301" s="11" t="n">
        <v>198</v>
      </c>
    </row>
    <row r="302" customFormat="false" ht="15" hidden="false" customHeight="false" outlineLevel="0" collapsed="false">
      <c r="A302" s="10" t="s">
        <v>69</v>
      </c>
      <c r="B302" s="11" t="n">
        <v>2026</v>
      </c>
      <c r="C302" s="11" t="n">
        <v>1</v>
      </c>
      <c r="D302" s="10" t="s">
        <v>39</v>
      </c>
      <c r="E302" s="11" t="n">
        <v>696</v>
      </c>
      <c r="F302" s="11" t="n">
        <v>696</v>
      </c>
    </row>
    <row r="303" customFormat="false" ht="15" hidden="false" customHeight="false" outlineLevel="0" collapsed="false">
      <c r="A303" s="10" t="s">
        <v>69</v>
      </c>
      <c r="B303" s="11" t="n">
        <v>2026</v>
      </c>
      <c r="C303" s="11" t="n">
        <v>2</v>
      </c>
      <c r="D303" s="10" t="s">
        <v>39</v>
      </c>
      <c r="E303" s="11" t="n">
        <v>1471</v>
      </c>
      <c r="F303" s="11" t="n">
        <v>775</v>
      </c>
    </row>
    <row r="304" customFormat="false" ht="15" hidden="false" customHeight="false" outlineLevel="0" collapsed="false">
      <c r="A304" s="10" t="s">
        <v>69</v>
      </c>
      <c r="B304" s="11" t="n">
        <v>2026</v>
      </c>
      <c r="C304" s="11" t="n">
        <v>3</v>
      </c>
      <c r="D304" s="10" t="s">
        <v>39</v>
      </c>
      <c r="E304" s="11" t="n">
        <v>1894</v>
      </c>
      <c r="F304" s="11" t="n">
        <v>423</v>
      </c>
    </row>
    <row r="305" customFormat="false" ht="15" hidden="false" customHeight="false" outlineLevel="0" collapsed="false">
      <c r="A305" s="10" t="s">
        <v>69</v>
      </c>
      <c r="B305" s="11" t="n">
        <v>2025</v>
      </c>
      <c r="C305" s="11" t="n">
        <v>1</v>
      </c>
      <c r="D305" s="10" t="s">
        <v>37</v>
      </c>
      <c r="E305" s="11" t="n">
        <v>3731</v>
      </c>
      <c r="F305" s="11" t="n">
        <v>3731</v>
      </c>
    </row>
    <row r="306" customFormat="false" ht="15" hidden="false" customHeight="false" outlineLevel="0" collapsed="false">
      <c r="A306" s="10" t="s">
        <v>69</v>
      </c>
      <c r="B306" s="11" t="n">
        <v>2025</v>
      </c>
      <c r="C306" s="11" t="n">
        <v>2</v>
      </c>
      <c r="D306" s="10" t="s">
        <v>37</v>
      </c>
      <c r="E306" s="11" t="n">
        <v>6628</v>
      </c>
      <c r="F306" s="11" t="n">
        <v>2897</v>
      </c>
    </row>
    <row r="307" customFormat="false" ht="15" hidden="false" customHeight="false" outlineLevel="0" collapsed="false">
      <c r="A307" s="10" t="s">
        <v>69</v>
      </c>
      <c r="B307" s="11" t="n">
        <v>2025</v>
      </c>
      <c r="C307" s="11" t="n">
        <v>3</v>
      </c>
      <c r="D307" s="10" t="s">
        <v>37</v>
      </c>
      <c r="E307" s="11" t="n">
        <v>9320</v>
      </c>
      <c r="F307" s="11" t="n">
        <v>2692</v>
      </c>
    </row>
    <row r="308" customFormat="false" ht="15" hidden="false" customHeight="false" outlineLevel="0" collapsed="false">
      <c r="A308" s="10" t="s">
        <v>69</v>
      </c>
      <c r="B308" s="11" t="n">
        <v>2025</v>
      </c>
      <c r="C308" s="11" t="n">
        <v>4</v>
      </c>
      <c r="D308" s="10" t="s">
        <v>37</v>
      </c>
      <c r="E308" s="11" t="n">
        <v>12219</v>
      </c>
      <c r="F308" s="11" t="n">
        <v>2899</v>
      </c>
    </row>
    <row r="309" customFormat="false" ht="15" hidden="false" customHeight="false" outlineLevel="0" collapsed="false">
      <c r="A309" s="10" t="s">
        <v>69</v>
      </c>
      <c r="B309" s="11" t="n">
        <v>2025</v>
      </c>
      <c r="C309" s="11" t="n">
        <v>5</v>
      </c>
      <c r="D309" s="10" t="s">
        <v>37</v>
      </c>
      <c r="E309" s="11" t="n">
        <v>15184</v>
      </c>
      <c r="F309" s="11" t="n">
        <v>2965</v>
      </c>
    </row>
    <row r="310" customFormat="false" ht="15" hidden="false" customHeight="false" outlineLevel="0" collapsed="false">
      <c r="A310" s="10" t="s">
        <v>69</v>
      </c>
      <c r="B310" s="11" t="n">
        <v>2025</v>
      </c>
      <c r="C310" s="11" t="n">
        <v>6</v>
      </c>
      <c r="D310" s="10" t="s">
        <v>37</v>
      </c>
      <c r="E310" s="11" t="n">
        <v>18144</v>
      </c>
      <c r="F310" s="11" t="n">
        <v>2960</v>
      </c>
    </row>
    <row r="311" customFormat="false" ht="15" hidden="false" customHeight="false" outlineLevel="0" collapsed="false">
      <c r="A311" s="10" t="s">
        <v>69</v>
      </c>
      <c r="B311" s="11" t="n">
        <v>2025</v>
      </c>
      <c r="C311" s="11" t="n">
        <v>7</v>
      </c>
      <c r="D311" s="10" t="s">
        <v>37</v>
      </c>
      <c r="E311" s="11" t="n">
        <v>21431</v>
      </c>
      <c r="F311" s="11" t="n">
        <v>3287</v>
      </c>
    </row>
    <row r="312" customFormat="false" ht="15" hidden="false" customHeight="false" outlineLevel="0" collapsed="false">
      <c r="A312" s="10" t="s">
        <v>69</v>
      </c>
      <c r="B312" s="11" t="n">
        <v>2025</v>
      </c>
      <c r="C312" s="11" t="n">
        <v>8</v>
      </c>
      <c r="D312" s="10" t="s">
        <v>37</v>
      </c>
      <c r="E312" s="11" t="n">
        <v>25210</v>
      </c>
      <c r="F312" s="11" t="n">
        <v>3779</v>
      </c>
    </row>
    <row r="313" customFormat="false" ht="15" hidden="false" customHeight="false" outlineLevel="0" collapsed="false">
      <c r="A313" s="10" t="s">
        <v>69</v>
      </c>
      <c r="B313" s="11" t="n">
        <v>2025</v>
      </c>
      <c r="C313" s="11" t="n">
        <v>9</v>
      </c>
      <c r="D313" s="10" t="s">
        <v>37</v>
      </c>
      <c r="E313" s="11" t="n">
        <v>28320</v>
      </c>
      <c r="F313" s="11" t="n">
        <v>3110</v>
      </c>
    </row>
    <row r="314" customFormat="false" ht="15" hidden="false" customHeight="false" outlineLevel="0" collapsed="false">
      <c r="A314" s="10" t="s">
        <v>69</v>
      </c>
      <c r="B314" s="11" t="n">
        <v>2025</v>
      </c>
      <c r="C314" s="11" t="n">
        <v>10</v>
      </c>
      <c r="D314" s="10" t="s">
        <v>37</v>
      </c>
      <c r="E314" s="11" t="n">
        <v>31648</v>
      </c>
      <c r="F314" s="11" t="n">
        <v>3328</v>
      </c>
    </row>
    <row r="315" customFormat="false" ht="15" hidden="false" customHeight="false" outlineLevel="0" collapsed="false">
      <c r="A315" s="10" t="s">
        <v>69</v>
      </c>
      <c r="B315" s="11" t="n">
        <v>2025</v>
      </c>
      <c r="C315" s="11" t="n">
        <v>11</v>
      </c>
      <c r="D315" s="10" t="s">
        <v>37</v>
      </c>
      <c r="E315" s="11" t="n">
        <v>34702</v>
      </c>
      <c r="F315" s="11" t="n">
        <v>3054</v>
      </c>
    </row>
    <row r="316" customFormat="false" ht="15" hidden="false" customHeight="false" outlineLevel="0" collapsed="false">
      <c r="A316" s="10" t="s">
        <v>69</v>
      </c>
      <c r="B316" s="11" t="n">
        <v>2025</v>
      </c>
      <c r="C316" s="11" t="n">
        <v>12</v>
      </c>
      <c r="D316" s="10" t="s">
        <v>37</v>
      </c>
      <c r="E316" s="11" t="n">
        <v>38387</v>
      </c>
      <c r="F316" s="11" t="n">
        <v>3685</v>
      </c>
    </row>
    <row r="317" customFormat="false" ht="15" hidden="false" customHeight="false" outlineLevel="0" collapsed="false">
      <c r="A317" s="10" t="s">
        <v>69</v>
      </c>
      <c r="B317" s="11" t="n">
        <v>2026</v>
      </c>
      <c r="C317" s="11" t="n">
        <v>1</v>
      </c>
      <c r="D317" s="10" t="s">
        <v>37</v>
      </c>
      <c r="E317" s="11" t="n">
        <v>4089</v>
      </c>
      <c r="F317" s="11" t="n">
        <v>4089</v>
      </c>
    </row>
    <row r="318" customFormat="false" ht="15" hidden="false" customHeight="false" outlineLevel="0" collapsed="false">
      <c r="A318" s="10" t="s">
        <v>69</v>
      </c>
      <c r="B318" s="11" t="n">
        <v>2026</v>
      </c>
      <c r="C318" s="11" t="n">
        <v>2</v>
      </c>
      <c r="D318" s="10" t="s">
        <v>37</v>
      </c>
      <c r="E318" s="11" t="n">
        <v>7860</v>
      </c>
      <c r="F318" s="11" t="n">
        <v>3771</v>
      </c>
    </row>
    <row r="319" customFormat="false" ht="15" hidden="false" customHeight="false" outlineLevel="0" collapsed="false">
      <c r="A319" s="10" t="s">
        <v>69</v>
      </c>
      <c r="B319" s="11" t="n">
        <v>2026</v>
      </c>
      <c r="C319" s="11" t="n">
        <v>3</v>
      </c>
      <c r="D319" s="10" t="s">
        <v>37</v>
      </c>
      <c r="E319" s="11" t="n">
        <v>11379</v>
      </c>
      <c r="F319" s="11" t="n">
        <v>3519</v>
      </c>
    </row>
    <row r="320" customFormat="false" ht="15" hidden="false" customHeight="false" outlineLevel="0" collapsed="false">
      <c r="A320" s="10" t="s">
        <v>69</v>
      </c>
      <c r="B320" s="11" t="n">
        <v>2025</v>
      </c>
      <c r="C320" s="11" t="n">
        <v>4</v>
      </c>
      <c r="D320" s="10" t="s">
        <v>51</v>
      </c>
      <c r="E320" s="11" t="n">
        <v>239</v>
      </c>
      <c r="F320" s="11"/>
    </row>
    <row r="321" customFormat="false" ht="15" hidden="false" customHeight="false" outlineLevel="0" collapsed="false">
      <c r="A321" s="10" t="s">
        <v>69</v>
      </c>
      <c r="B321" s="11" t="n">
        <v>2025</v>
      </c>
      <c r="C321" s="11" t="n">
        <v>5</v>
      </c>
      <c r="D321" s="10" t="s">
        <v>51</v>
      </c>
      <c r="E321" s="11" t="n">
        <v>245</v>
      </c>
      <c r="F321" s="11" t="n">
        <v>6</v>
      </c>
    </row>
    <row r="322" customFormat="false" ht="15" hidden="false" customHeight="false" outlineLevel="0" collapsed="false">
      <c r="A322" s="10" t="s">
        <v>69</v>
      </c>
      <c r="B322" s="11" t="n">
        <v>2025</v>
      </c>
      <c r="C322" s="11" t="n">
        <v>6</v>
      </c>
      <c r="D322" s="10" t="s">
        <v>51</v>
      </c>
      <c r="E322" s="11" t="n">
        <v>255</v>
      </c>
      <c r="F322" s="11" t="n">
        <v>10</v>
      </c>
    </row>
    <row r="323" customFormat="false" ht="15" hidden="false" customHeight="false" outlineLevel="0" collapsed="false">
      <c r="A323" s="10" t="s">
        <v>69</v>
      </c>
      <c r="B323" s="11" t="n">
        <v>2025</v>
      </c>
      <c r="C323" s="11" t="n">
        <v>7</v>
      </c>
      <c r="D323" s="10" t="s">
        <v>51</v>
      </c>
      <c r="E323" s="11" t="n">
        <v>267</v>
      </c>
      <c r="F323" s="11" t="n">
        <v>12</v>
      </c>
    </row>
    <row r="324" customFormat="false" ht="15" hidden="false" customHeight="false" outlineLevel="0" collapsed="false">
      <c r="A324" s="10" t="s">
        <v>69</v>
      </c>
      <c r="B324" s="11" t="n">
        <v>2025</v>
      </c>
      <c r="C324" s="11" t="n">
        <v>8</v>
      </c>
      <c r="D324" s="10" t="s">
        <v>51</v>
      </c>
      <c r="E324" s="11" t="n">
        <v>275</v>
      </c>
      <c r="F324" s="11" t="n">
        <v>8</v>
      </c>
    </row>
    <row r="325" customFormat="false" ht="15" hidden="false" customHeight="false" outlineLevel="0" collapsed="false">
      <c r="A325" s="10" t="s">
        <v>69</v>
      </c>
      <c r="B325" s="11" t="n">
        <v>2025</v>
      </c>
      <c r="C325" s="11" t="n">
        <v>9</v>
      </c>
      <c r="D325" s="10" t="s">
        <v>51</v>
      </c>
      <c r="E325" s="11" t="n">
        <v>287</v>
      </c>
      <c r="F325" s="11" t="n">
        <v>12</v>
      </c>
    </row>
  </sheetData>
  <autoFilter ref="A1:F3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2026-06-10T19:30:34Z</dcterms:created>
  <dc:creator>openpyxl</dc:creator>
  <dc:description/>
  <dc:language>en-US</dc:language>
  <cp:lastModifiedBy/>
  <dcterms:modified xsi:type="dcterms:W3CDTF">2026-06-10T19:30:34Z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